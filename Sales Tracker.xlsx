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635" activeTab="1"/>
  </bookViews>
  <sheets>
    <sheet name="Raw Data" sheetId="1" r:id="rId1"/>
    <sheet name="Summary" sheetId="2" r:id="rId2"/>
  </sheets>
  <calcPr calcId="0"/>
</workbook>
</file>

<file path=xl/calcChain.xml><?xml version="1.0" encoding="utf-8"?>
<calcChain xmlns="http://schemas.openxmlformats.org/spreadsheetml/2006/main">
  <c r="B18" i="2" l="1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A40" i="2"/>
  <c r="A41" i="2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" i="2"/>
  <c r="A38" i="2"/>
  <c r="A39" i="2" s="1"/>
  <c r="A30" i="2"/>
  <c r="A31" i="2"/>
  <c r="A32" i="2" s="1"/>
  <c r="A33" i="2" s="1"/>
  <c r="A34" i="2" s="1"/>
  <c r="A35" i="2" s="1"/>
  <c r="A36" i="2" s="1"/>
  <c r="A21" i="2"/>
  <c r="A22" i="2"/>
  <c r="A23" i="2"/>
  <c r="A24" i="2"/>
  <c r="A25" i="2" s="1"/>
  <c r="A26" i="2" s="1"/>
  <c r="A27" i="2" s="1"/>
  <c r="A28" i="2" s="1"/>
  <c r="A29" i="2" s="1"/>
  <c r="E4" i="2"/>
  <c r="A20" i="2"/>
  <c r="E21" i="2"/>
  <c r="D21" i="2"/>
  <c r="B15" i="2"/>
  <c r="B16" i="2"/>
  <c r="B17" i="2"/>
  <c r="A15" i="2"/>
  <c r="A16" i="2"/>
  <c r="A17" i="2"/>
  <c r="A18" i="2"/>
  <c r="A19" i="2" s="1"/>
  <c r="H10" i="2"/>
  <c r="H11" i="2"/>
  <c r="H12" i="2"/>
  <c r="H13" i="2"/>
  <c r="H14" i="2"/>
  <c r="H15" i="2"/>
  <c r="H16" i="2"/>
  <c r="H17" i="2"/>
  <c r="H18" i="2"/>
  <c r="H19" i="2"/>
  <c r="H20" i="2"/>
  <c r="H21" i="2"/>
  <c r="G21" i="2"/>
  <c r="G20" i="2"/>
  <c r="G19" i="2"/>
  <c r="G18" i="2"/>
  <c r="G17" i="2"/>
  <c r="G16" i="2"/>
  <c r="G15" i="2"/>
  <c r="E16" i="2"/>
  <c r="E17" i="2"/>
  <c r="E18" i="2"/>
  <c r="E19" i="2"/>
  <c r="E20" i="2"/>
  <c r="D14" i="2"/>
  <c r="D15" i="2" s="1"/>
  <c r="G14" i="2"/>
  <c r="G13" i="2"/>
  <c r="G12" i="2"/>
  <c r="G10" i="2"/>
  <c r="G11" i="2"/>
  <c r="G9" i="2"/>
  <c r="H9" i="2" s="1"/>
  <c r="E10" i="2"/>
  <c r="E11" i="2"/>
  <c r="E12" i="2"/>
  <c r="E13" i="2"/>
  <c r="E9" i="2"/>
  <c r="D13" i="2"/>
  <c r="D11" i="2"/>
  <c r="D12" i="2" s="1"/>
  <c r="D10" i="2"/>
  <c r="D9" i="2"/>
  <c r="B12" i="2"/>
  <c r="B13" i="2"/>
  <c r="B14" i="2"/>
  <c r="B11" i="2"/>
  <c r="A11" i="2"/>
  <c r="A12" i="2"/>
  <c r="A13" i="2"/>
  <c r="A14" i="2"/>
  <c r="A10" i="2"/>
  <c r="B10" i="2"/>
  <c r="B9" i="2"/>
  <c r="A9" i="2"/>
  <c r="C4" i="2"/>
  <c r="A4" i="2"/>
  <c r="D16" i="2" l="1"/>
  <c r="D17" i="2" s="1"/>
  <c r="D18" i="2" s="1"/>
  <c r="D19" i="2" s="1"/>
  <c r="D20" i="2" s="1"/>
  <c r="E15" i="2"/>
  <c r="E14" i="2"/>
</calcChain>
</file>

<file path=xl/sharedStrings.xml><?xml version="1.0" encoding="utf-8"?>
<sst xmlns="http://schemas.openxmlformats.org/spreadsheetml/2006/main" count="3023" uniqueCount="1025">
  <si>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</si>
  <si>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</si>
  <si>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</si>
  <si>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</si>
  <si>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</si>
  <si>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</si>
  <si>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</si>
  <si>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</si>
  <si>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</si>
  <si>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</si>
  <si>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</si>
  <si>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</si>
  <si>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</si>
  <si>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</si>
  <si>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</si>
  <si>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</si>
  <si>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</si>
  <si>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</si>
  <si>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</si>
  <si>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</si>
  <si>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</si>
  <si>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</si>
  <si>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</si>
  <si>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</si>
  <si>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</si>
  <si>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</si>
  <si>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</si>
  <si>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</si>
  <si>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</si>
  <si>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</si>
  <si>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</si>
  <si>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</si>
  <si>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</si>
  <si>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</si>
  <si>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</si>
  <si>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</si>
  <si>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</si>
  <si>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</si>
  <si>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</si>
  <si>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</si>
  <si>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</si>
  <si>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</si>
  <si>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</si>
  <si>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</si>
  <si>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</si>
  <si>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</si>
  <si>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</si>
  <si>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</si>
  <si>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</si>
  <si>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</si>
  <si>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</si>
  <si>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</si>
  <si>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</si>
  <si>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</si>
  <si>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</si>
  <si>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</si>
  <si>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</si>
  <si>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</si>
  <si>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</si>
  <si>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</si>
  <si>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</si>
  <si>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</si>
  <si>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</si>
  <si>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</si>
  <si>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</si>
  <si>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</si>
  <si>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</si>
  <si>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</si>
  <si>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</si>
  <si>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</si>
  <si>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</si>
  <si>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</si>
  <si>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</si>
  <si>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</si>
  <si>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</si>
  <si>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</si>
  <si>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</si>
  <si>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</si>
  <si>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</si>
  <si>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</si>
  <si>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</si>
  <si>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</si>
  <si>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</si>
  <si>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</si>
  <si>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</si>
  <si>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</si>
  <si>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</si>
  <si>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</si>
  <si>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</si>
  <si>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</si>
  <si>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</si>
  <si>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</si>
  <si>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</si>
  <si>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</si>
  <si>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</si>
  <si>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</si>
  <si>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</si>
  <si>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</si>
  <si>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</si>
  <si>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</si>
  <si>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</si>
  <si>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</si>
  <si>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</si>
  <si>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</si>
  <si>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</si>
  <si>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</si>
  <si>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</si>
  <si>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</si>
  <si>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</si>
  <si>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</si>
  <si>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</si>
  <si>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</si>
  <si>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</si>
  <si>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</si>
  <si>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</si>
  <si>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</si>
  <si>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</si>
  <si>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</si>
  <si>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</si>
  <si>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</si>
  <si>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</si>
  <si>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</si>
  <si>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</si>
  <si>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</si>
  <si>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</si>
  <si>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</si>
  <si>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</si>
  <si>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</si>
  <si>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</si>
  <si>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</si>
  <si>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</si>
  <si>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</si>
  <si>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</si>
  <si>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</si>
  <si>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</si>
  <si>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</si>
  <si>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</si>
  <si>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</si>
  <si>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</si>
  <si>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</si>
  <si>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</si>
  <si>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</si>
  <si>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</si>
  <si>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</si>
  <si>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</si>
  <si>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</si>
  <si>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</si>
  <si>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</si>
  <si>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</si>
  <si>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</si>
  <si>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</si>
  <si>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</si>
  <si>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</si>
  <si>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</si>
  <si>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</si>
  <si>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</si>
  <si>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</si>
  <si>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</si>
  <si>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</si>
  <si>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</si>
  <si>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</si>
  <si>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</si>
  <si>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</si>
  <si>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</si>
  <si>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</si>
  <si>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</si>
  <si>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</si>
  <si>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</si>
  <si>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</si>
  <si>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</si>
  <si>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</si>
  <si>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</si>
  <si>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</si>
  <si>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</si>
  <si>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</si>
  <si>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</si>
  <si>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</si>
  <si>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</si>
  <si>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</si>
  <si>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</si>
  <si>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</si>
  <si>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</si>
  <si>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</si>
  <si>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</si>
  <si>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</si>
  <si>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</si>
  <si>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</si>
  <si>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</si>
  <si>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</si>
  <si>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</si>
  <si>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</si>
  <si>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</si>
  <si>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</si>
  <si>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</si>
  <si>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</si>
  <si>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</si>
  <si>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</si>
  <si>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</si>
  <si>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</si>
  <si>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</si>
  <si>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</si>
  <si>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</si>
  <si>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</si>
  <si>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</si>
  <si>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</si>
  <si>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</si>
  <si>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</si>
  <si>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</si>
  <si>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</si>
  <si>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</si>
  <si>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</si>
  <si>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</si>
  <si>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</si>
  <si>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</si>
  <si>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</si>
  <si>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</si>
  <si>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</si>
  <si>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</si>
  <si>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</si>
  <si>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</si>
  <si>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</si>
  <si>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</si>
  <si>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</si>
  <si>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</si>
  <si>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</si>
  <si>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</si>
  <si>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</si>
  <si>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</si>
  <si>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</si>
  <si>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</si>
  <si>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</si>
  <si>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</si>
  <si>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</si>
  <si>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</si>
  <si>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</si>
  <si>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</si>
  <si>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</si>
  <si>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</si>
  <si>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</si>
  <si>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</si>
  <si>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</si>
  <si>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</si>
  <si>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</si>
  <si>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</si>
  <si>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</si>
  <si>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</si>
  <si>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</si>
  <si>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</si>
  <si>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</si>
  <si>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</si>
  <si>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</si>
  <si>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</si>
  <si>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</si>
  <si>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</si>
  <si>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</si>
  <si>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</si>
  <si>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</si>
  <si>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</si>
  <si>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</si>
  <si>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</si>
  <si>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</si>
  <si>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</si>
  <si>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</si>
  <si>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</si>
  <si>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</si>
  <si>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</si>
  <si>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</si>
  <si>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</si>
  <si>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</si>
  <si>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</si>
  <si>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</si>
  <si>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</si>
  <si>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</si>
  <si>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</si>
  <si>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</si>
  <si>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</si>
  <si>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</si>
  <si>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</si>
  <si>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</si>
  <si>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</si>
  <si>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</si>
  <si>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</si>
  <si>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</si>
  <si>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</si>
  <si>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</si>
  <si>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</si>
  <si>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</si>
  <si>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</si>
  <si>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</si>
  <si>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</si>
  <si>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</si>
  <si>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</si>
  <si>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</si>
  <si>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</si>
  <si>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</si>
  <si>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</si>
  <si>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</si>
  <si>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</si>
  <si>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</si>
  <si>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</si>
  <si>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</si>
  <si>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</si>
  <si>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</si>
  <si>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</si>
  <si>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</si>
  <si>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</si>
  <si>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</si>
  <si>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</si>
  <si>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</si>
  <si>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</si>
  <si>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</si>
  <si>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</si>
  <si>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</si>
  <si>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</si>
  <si>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</si>
  <si>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</si>
  <si>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</si>
  <si>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</si>
  <si>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</si>
  <si>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</si>
  <si>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</si>
  <si>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</si>
  <si>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</si>
  <si>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</si>
  <si>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</si>
  <si>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</si>
  <si>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</si>
  <si>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</si>
  <si>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</si>
  <si>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</si>
  <si>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</si>
  <si>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</si>
  <si>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</si>
  <si>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</si>
  <si>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</si>
  <si>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</si>
  <si>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</si>
  <si>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</si>
  <si>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</si>
  <si>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</si>
  <si>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</si>
  <si>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</si>
  <si>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</si>
  <si>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</si>
  <si>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</si>
  <si>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</si>
  <si>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</si>
  <si>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</si>
  <si>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</si>
  <si>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</si>
  <si>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</si>
  <si>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</si>
  <si>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</si>
  <si>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</si>
  <si>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</si>
  <si>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</si>
  <si>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</si>
  <si>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</si>
  <si>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</si>
  <si>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</si>
  <si>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</si>
  <si>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</si>
  <si>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</si>
  <si>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</si>
  <si>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</si>
  <si>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</si>
  <si>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</si>
  <si>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</si>
  <si>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</si>
  <si>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</si>
  <si>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</si>
  <si>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</si>
  <si>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</si>
  <si>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</si>
  <si>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</si>
  <si>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</si>
  <si>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</si>
  <si>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</si>
  <si>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</si>
  <si>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</si>
  <si>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</si>
  <si>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</si>
  <si>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</si>
  <si>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</si>
  <si>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</si>
  <si>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</si>
  <si>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</si>
  <si>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</si>
  <si>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</si>
  <si>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</si>
  <si>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</si>
  <si>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</si>
  <si>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</si>
  <si>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</si>
  <si>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</si>
  <si>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</si>
  <si>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</si>
  <si>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</si>
  <si>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</si>
  <si>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</si>
  <si>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</si>
  <si>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</si>
  <si>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</si>
  <si>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</si>
  <si>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</si>
  <si>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</si>
  <si>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</si>
  <si>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</si>
  <si>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</si>
  <si>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</si>
  <si>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</si>
  <si>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</si>
  <si>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</si>
  <si>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</si>
  <si>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</si>
  <si>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</si>
  <si>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</si>
  <si>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</si>
  <si>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</si>
  <si>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</si>
  <si>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</si>
  <si>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</si>
  <si>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</si>
  <si>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</si>
  <si>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</si>
  <si>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</si>
  <si>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</si>
  <si>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</si>
  <si>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</si>
  <si>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</si>
  <si>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</si>
  <si>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</si>
  <si>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</si>
  <si>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</si>
  <si>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</si>
  <si>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</si>
  <si>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</si>
  <si>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</si>
  <si>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</si>
  <si>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</si>
  <si>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</si>
  <si>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</si>
  <si>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</si>
  <si>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</si>
  <si>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</si>
  <si>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</si>
  <si>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</si>
  <si>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</si>
  <si>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</si>
  <si>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</si>
  <si>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</si>
  <si>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</si>
  <si>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</si>
  <si>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</si>
  <si>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</si>
  <si>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</si>
  <si>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</si>
  <si>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</si>
  <si>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</si>
  <si>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</si>
  <si>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</si>
  <si>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</si>
  <si>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</si>
  <si>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</si>
  <si>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</si>
  <si>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</si>
  <si>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</si>
  <si>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</si>
  <si>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</si>
  <si>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</si>
  <si>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</si>
  <si>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</si>
  <si>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</si>
  <si>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</si>
  <si>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</si>
  <si>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</si>
  <si>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</si>
  <si>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</si>
  <si>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</si>
  <si>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</si>
  <si>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</si>
  <si>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</si>
  <si>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</si>
  <si>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</si>
  <si>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</si>
  <si>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</si>
  <si>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</si>
  <si>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</si>
  <si>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</si>
  <si>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</si>
  <si>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</si>
  <si>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</si>
  <si>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</si>
  <si>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</si>
  <si>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</si>
  <si>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</si>
  <si>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</si>
  <si>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</si>
  <si>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</si>
  <si>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</si>
  <si>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</si>
  <si>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</si>
  <si>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</si>
  <si>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</si>
  <si>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</si>
  <si>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</si>
  <si>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</si>
  <si>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</si>
  <si>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</si>
  <si>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</si>
  <si>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</si>
  <si>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</si>
  <si>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</si>
  <si>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</si>
  <si>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</si>
  <si>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</si>
  <si>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</si>
  <si>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</si>
  <si>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</si>
  <si>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</si>
  <si>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</si>
  <si>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</si>
  <si>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</si>
  <si>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</si>
  <si>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</si>
  <si>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</si>
  <si>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</si>
  <si>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</si>
  <si>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</si>
  <si>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</si>
  <si>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</si>
  <si>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</si>
  <si>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</si>
  <si>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</si>
  <si>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</si>
  <si>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</si>
  <si>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</si>
  <si>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</si>
  <si>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</si>
  <si>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</si>
  <si>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</si>
  <si>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</si>
  <si>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</si>
  <si>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</si>
  <si>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</si>
  <si>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</si>
  <si>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</si>
  <si>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</si>
  <si>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</si>
  <si>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</si>
  <si>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</si>
  <si>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</si>
  <si>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</si>
  <si>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</si>
  <si>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</si>
  <si>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</si>
  <si>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</si>
  <si>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</si>
  <si>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</si>
  <si>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</si>
  <si>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</si>
  <si>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</si>
  <si>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</si>
  <si>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</si>
  <si>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</si>
  <si>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</si>
  <si>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</si>
  <si>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</si>
  <si>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</si>
  <si>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</si>
  <si>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</si>
  <si>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</si>
  <si>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</si>
  <si>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</si>
  <si>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</si>
  <si>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</si>
  <si>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</si>
  <si>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</si>
  <si>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</si>
  <si>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</si>
  <si>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</si>
  <si>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</si>
  <si>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</si>
  <si>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</si>
  <si>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</si>
  <si>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</si>
  <si>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</si>
  <si>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</si>
  <si>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</si>
  <si>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</si>
  <si>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</si>
  <si>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</si>
  <si>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</si>
  <si>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</si>
  <si>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</si>
  <si>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</si>
  <si>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</si>
  <si>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</si>
  <si>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</si>
  <si>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</si>
  <si>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</si>
  <si>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</si>
  <si>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</si>
  <si>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</si>
  <si>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</si>
  <si>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</si>
  <si>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</si>
  <si>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</si>
  <si>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</si>
  <si>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</si>
  <si>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</si>
  <si>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</si>
  <si>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</si>
  <si>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</si>
  <si>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</si>
  <si>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</si>
  <si>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</si>
  <si>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</si>
  <si>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</si>
  <si>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</si>
  <si>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</si>
  <si>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</si>
  <si>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</si>
  <si>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</si>
  <si>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</si>
  <si>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</si>
  <si>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</si>
  <si>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</si>
  <si>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</si>
  <si>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</si>
  <si>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</si>
  <si>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</si>
  <si>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</si>
  <si>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</si>
  <si>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</si>
  <si>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</si>
  <si>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</si>
  <si>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</si>
  <si>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</si>
  <si>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</si>
  <si>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</si>
  <si>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</si>
  <si>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</si>
  <si>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</si>
  <si>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</si>
  <si>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</si>
  <si>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</si>
  <si>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</si>
  <si>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</si>
  <si>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</si>
  <si>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</si>
  <si>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</si>
  <si>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</si>
  <si>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</si>
  <si>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</si>
  <si>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</si>
  <si>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</si>
  <si>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</si>
  <si>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</si>
  <si>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</si>
  <si>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</si>
  <si>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</si>
  <si>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</si>
  <si>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</si>
  <si>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</si>
  <si>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</si>
  <si>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</si>
  <si>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</si>
  <si>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</si>
  <si>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</si>
  <si>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</si>
  <si>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</si>
  <si>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</si>
  <si>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</si>
  <si>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</si>
  <si>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</si>
  <si>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</si>
  <si>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</si>
  <si>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</si>
  <si>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</si>
  <si>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</si>
  <si>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</si>
  <si>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</si>
  <si>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</si>
  <si>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</si>
  <si>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</si>
  <si>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</si>
  <si>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</si>
  <si>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</si>
  <si>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</si>
  <si>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</si>
  <si>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</si>
  <si>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</si>
  <si>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</si>
  <si>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</si>
  <si>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</si>
  <si>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</si>
  <si>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</si>
  <si>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</si>
  <si>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</si>
  <si>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</si>
  <si>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</si>
  <si>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</si>
  <si>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</si>
  <si>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</si>
  <si>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</si>
  <si>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</si>
  <si>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</si>
  <si>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</si>
  <si>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</si>
  <si>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</si>
  <si>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</si>
  <si>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</si>
  <si>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</si>
  <si>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</si>
  <si>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</si>
  <si>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</si>
  <si>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</si>
  <si>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</si>
  <si>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</si>
  <si>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</si>
  <si>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</si>
  <si>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</si>
  <si>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</si>
  <si>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</si>
  <si>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</si>
  <si>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</si>
  <si>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</si>
  <si>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</si>
  <si>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</si>
  <si>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</si>
  <si>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</si>
  <si>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</si>
  <si>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</si>
  <si>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</si>
  <si>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</si>
  <si>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</si>
  <si>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</si>
  <si>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</si>
  <si>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</si>
  <si>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</si>
  <si>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</si>
  <si>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</si>
  <si>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</si>
  <si>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</si>
  <si>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</si>
  <si>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</si>
  <si>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</si>
  <si>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</si>
  <si>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</si>
  <si>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</si>
  <si>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</si>
  <si>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</si>
  <si>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</si>
  <si>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</si>
  <si>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</si>
  <si>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</si>
  <si>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</si>
  <si>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</si>
  <si>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</si>
  <si>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</si>
  <si>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</si>
  <si>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</si>
  <si>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</si>
  <si>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</si>
  <si>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</si>
  <si>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</si>
  <si>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</si>
  <si>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</si>
  <si>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</si>
  <si>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</si>
  <si>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</si>
  <si>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</si>
  <si>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</si>
  <si>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</si>
  <si>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</si>
  <si>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</si>
  <si>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</si>
  <si>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</si>
  <si>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</si>
  <si>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</si>
  <si>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</si>
  <si>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</si>
  <si>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</si>
  <si>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</si>
  <si>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</si>
  <si>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</si>
  <si>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</si>
  <si>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</si>
  <si>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</si>
  <si>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</si>
  <si>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</si>
  <si>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</si>
  <si>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</si>
  <si>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</si>
  <si>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</si>
  <si>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</si>
  <si>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</si>
  <si>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</si>
  <si>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</si>
  <si>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</si>
  <si>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</si>
  <si>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</si>
  <si>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</si>
  <si>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</si>
  <si>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</si>
  <si>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</si>
  <si>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</si>
  <si>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</si>
  <si>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</si>
  <si>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</si>
  <si>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</si>
  <si>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</si>
  <si>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</si>
  <si>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</si>
  <si>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</si>
  <si>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</si>
  <si>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</si>
  <si>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</si>
  <si>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</si>
  <si>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</si>
  <si>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</si>
  <si>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</si>
  <si>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</si>
  <si>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</si>
  <si>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</si>
  <si>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</si>
  <si>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</si>
  <si>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</si>
  <si>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</si>
  <si>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</si>
  <si>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</si>
  <si>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</si>
  <si>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</si>
  <si>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</si>
  <si>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</si>
  <si>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</si>
  <si>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</si>
  <si>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</si>
  <si>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</si>
  <si>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</si>
  <si>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</si>
  <si>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</si>
  <si>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</si>
  <si>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</si>
  <si>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</si>
  <si>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</si>
  <si>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</si>
  <si>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</si>
  <si>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</si>
  <si>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</si>
  <si>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</si>
  <si>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</si>
  <si>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</si>
  <si>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</si>
  <si>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</si>
  <si>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</si>
  <si>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</si>
  <si>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</si>
  <si>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</si>
  <si>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</si>
  <si>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</si>
  <si>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</si>
  <si>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</si>
  <si>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</si>
  <si>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</si>
  <si>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</si>
  <si>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</si>
  <si>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</si>
  <si>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</si>
  <si>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</si>
  <si>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</si>
  <si>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</si>
  <si>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</si>
  <si>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</si>
  <si>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</si>
  <si>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</si>
  <si>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</si>
  <si>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</si>
  <si>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</si>
  <si>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</si>
  <si>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</si>
  <si>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</si>
  <si>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</si>
  <si>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</si>
  <si>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</si>
  <si>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</si>
  <si>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</si>
  <si>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</si>
  <si>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</si>
  <si>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</si>
  <si>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</si>
  <si>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</si>
  <si>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</si>
  <si>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</si>
  <si>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</si>
  <si>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</si>
  <si>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</si>
  <si>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</si>
  <si>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</si>
  <si>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</si>
  <si>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</si>
  <si>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</si>
  <si>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</si>
  <si>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</si>
  <si>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</si>
  <si>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</si>
  <si>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</si>
  <si>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</si>
  <si>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</si>
  <si>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</si>
  <si>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</si>
  <si>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</si>
  <si>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</si>
  <si>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</si>
  <si>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</si>
  <si>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</si>
  <si>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</si>
  <si>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</si>
  <si>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</si>
  <si>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</si>
  <si>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</si>
  <si>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</si>
  <si>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</si>
  <si>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</si>
  <si>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</si>
  <si>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</si>
  <si>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</si>
  <si>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</si>
  <si>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</si>
  <si>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</si>
  <si>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</si>
  <si>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</si>
  <si>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</si>
  <si>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</si>
  <si>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</si>
  <si>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</si>
  <si>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</si>
  <si>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</si>
  <si>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</si>
  <si>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</si>
  <si>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</si>
  <si>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</si>
  <si>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</si>
  <si>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</si>
  <si>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</si>
  <si>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</si>
  <si>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</si>
  <si>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</si>
  <si>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</si>
  <si>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</si>
  <si>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</si>
  <si>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</si>
  <si>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</si>
  <si>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</si>
  <si>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</si>
  <si>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</si>
  <si>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</si>
  <si>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</si>
  <si>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</si>
  <si>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</si>
  <si>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</si>
  <si>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</si>
  <si>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</si>
  <si>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</si>
  <si>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</si>
  <si>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</si>
  <si>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</si>
  <si>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</si>
  <si>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</si>
  <si>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</si>
  <si>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</si>
  <si>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</si>
  <si>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</si>
  <si>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</si>
  <si>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</si>
  <si>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</si>
  <si>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</si>
  <si>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</si>
  <si>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</si>
  <si>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</si>
  <si>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</si>
  <si>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</si>
  <si>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</si>
  <si>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</si>
  <si>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</si>
  <si>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</si>
  <si>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</si>
  <si>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</si>
  <si>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</si>
  <si>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</si>
  <si>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</si>
  <si>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</si>
  <si>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</si>
  <si>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</si>
  <si>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</si>
  <si>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</si>
  <si>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</si>
  <si>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</si>
  <si>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</si>
  <si>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</si>
  <si>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</si>
  <si>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</si>
  <si>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</si>
  <si>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</si>
  <si>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</si>
  <si>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</si>
  <si>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</si>
  <si>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</si>
  <si>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</si>
  <si>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</si>
  <si>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</si>
  <si>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</si>
  <si>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</si>
  <si>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SALES TRACKER</t>
  </si>
  <si>
    <t>Overall Sales</t>
  </si>
  <si>
    <t>Total Transactions</t>
  </si>
  <si>
    <t>Average Sale</t>
  </si>
  <si>
    <t>DAILY SALES</t>
  </si>
  <si>
    <t>Total Sales</t>
  </si>
  <si>
    <t>WEEKLY SALES</t>
  </si>
  <si>
    <t>Week Starting</t>
  </si>
  <si>
    <t>MONTHLY SALES</t>
  </si>
  <si>
    <t>Month</t>
  </si>
  <si>
    <t>Monthly Sales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</si>
</sst>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₹-4009]\ #,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charset val="134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4" fontId="18" fillId="0" borderId="0" xfId="0" applyNumberFormat="1" applyFont="1" applyFill="1" applyBorder="1" applyAlignment="1" applyProtection="1">
      <alignment vertical="center"/>
    </xf>
    <xf numFmtId="0" fontId="16" fillId="0" borderId="0" xfId="0" applyFont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169" fontId="0" fillId="0" borderId="0" xfId="0" applyNumberFormat="1"/>
    <xf numFmtId="0" fontId="21" fillId="0" borderId="0" xfId="0" applyFont="1" applyAlignment="1">
      <alignment horizontal="center" vertical="center"/>
    </xf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2" max="2" width="10.7109375" bestFit="1" customWidth="1"/>
  </cols>
  <sheetData>
    <row r="1" spans="1:9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3">
        <v>1</v>
      </c>
      <c r="B2" s="2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>
      <c r="A3">
        <v>2</v>
      </c>
      <c r="B3" s="2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>
      <c r="A4">
        <v>3</v>
      </c>
      <c r="B4" s="2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>
      <c r="A5">
        <v>4</v>
      </c>
      <c r="B5" s="2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>
      <c r="A6">
        <v>5</v>
      </c>
      <c r="B6" s="2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>
      <c r="A7">
        <v>6</v>
      </c>
      <c r="B7" s="2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>
      <c r="A8">
        <v>7</v>
      </c>
      <c r="B8" s="2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>
      <c r="A9">
        <v>8</v>
      </c>
      <c r="B9" s="2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>
      <c r="A10">
        <v>9</v>
      </c>
      <c r="B10" s="2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>
      <c r="A11">
        <v>10</v>
      </c>
      <c r="B11" s="2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>
      <c r="A12">
        <v>11</v>
      </c>
      <c r="B12" s="2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>
      <c r="A13">
        <v>12</v>
      </c>
      <c r="B13" s="2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>
      <c r="A14">
        <v>13</v>
      </c>
      <c r="B14" s="2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7"/>
  <sheetViews>
    <sheetView tabSelected="1" zoomScale="95" workbookViewId="0">
      <selection activeCell="L20" sqref="L20"/>
    </sheetView>
  </sheetViews>
  <sheetFormatPr defaultRowHeight="15"/>
  <cols>
    <col min="1" max="1" width="18" customWidth="1"/>
    <col min="2" max="2" width="13" customWidth="1"/>
    <col min="3" max="3" width="22.140625" customWidth="1"/>
    <col min="4" max="4" width="15.85546875" customWidth="1"/>
    <col min="5" max="5" width="15.28515625" customWidth="1"/>
    <col min="7" max="7" width="15.42578125" customWidth="1"/>
    <col min="8" max="8" width="12.140625" customWidth="1"/>
  </cols>
  <sheetData>
    <row r="1" spans="1:8" ht="33.75">
      <c r="A1" s="7"/>
      <c r="B1" s="7"/>
      <c r="C1" s="7" t="s">
        <v>1014</v>
      </c>
      <c r="D1" s="7"/>
      <c r="E1" s="4"/>
      <c r="F1" s="4"/>
      <c r="G1" s="4"/>
      <c r="H1" s="4"/>
    </row>
    <row r="3" spans="1:8">
      <c r="A3" t="s">
        <v>1015</v>
      </c>
      <c r="C3" t="s">
        <v>1016</v>
      </c>
      <c r="E3" t="s">
        <v>1017</v>
      </c>
    </row>
    <row r="4" spans="1:8">
      <c r="A4" s="6">
        <f>SUM('Raw Data'!I2:I1001)</f>
        <v>456000</v>
      </c>
      <c r="C4">
        <f>COUNTA('Raw Data'!A2:A1001)</f>
        <v>1000</v>
      </c>
      <c r="E4" s="6">
        <f>AVERAGE('Raw Data'!I2:I1001)</f>
        <v>456</v>
      </c>
    </row>
    <row r="7" spans="1:8">
      <c r="A7" s="3" t="s">
        <v>1018</v>
      </c>
      <c r="D7" s="3" t="s">
        <v>1020</v>
      </c>
      <c r="G7" s="3" t="s">
        <v>1022</v>
      </c>
    </row>
    <row r="8" spans="1:8">
      <c r="A8" s="5" t="s">
        <v>1</v>
      </c>
      <c r="B8" t="s">
        <v>1019</v>
      </c>
      <c r="D8" t="s">
        <v>1021</v>
      </c>
      <c r="E8" t="s">
        <v>1019</v>
      </c>
      <c r="G8" t="s">
        <v>1023</v>
      </c>
      <c r="H8" t="s">
        <v>1019</v>
      </c>
    </row>
    <row r="9" spans="1:8">
      <c r="A9" s="1">
        <f>MIN('Raw Data'!B2:B1001)</f>
        <v>44927</v>
      </c>
      <c r="B9" s="6">
        <f>SUMIF('Raw Data'!$B$2:$B$1001,A9,'Raw Data'!$I$2:$I$1001)</f>
        <v>3600</v>
      </c>
      <c r="D9" s="1">
        <f>MIN('Raw Data'!B2:B1001)-WEEKDAY(MIN('Raw Data'!B2:B1001),2)+1</f>
        <v>44921</v>
      </c>
      <c r="E9" s="6">
        <f>SUMIFS('Raw Data'!$I$2:$I$1001,'Raw Data'!$B$2:$B$1001,"&gt;="&amp;D9,'Raw Data'!$B$2:$B$1001,"&lt;"&amp;D9+7)</f>
        <v>3600</v>
      </c>
      <c r="G9" s="1">
        <f>DATE(YEAR(MIN('Raw Data'!B2:B1001)),MONTH(MIN('Raw Data'!B2:B1001)),1)</f>
        <v>44927</v>
      </c>
      <c r="H9" s="6">
        <f>SUMIFS('Raw Data'!$I$2:$I$1001,'Raw Data'!$B$2:$B$1001,"&gt;="&amp;G9,'Raw Data'!$B$2:$B$1001,"&lt;"&amp;EDATE(G9,1))</f>
        <v>35450</v>
      </c>
    </row>
    <row r="10" spans="1:8">
      <c r="A10" s="1">
        <f>A9+1</f>
        <v>44928</v>
      </c>
      <c r="B10" s="6">
        <f>SUMIF('Raw Data'!$B$2:$B$1001,A10,'Raw Data'!$I$2:$I$1001)</f>
        <v>1765</v>
      </c>
      <c r="D10" s="1">
        <f>D9+7</f>
        <v>44928</v>
      </c>
      <c r="E10" s="6">
        <f>SUMIFS('Raw Data'!$I$2:$I$1001,'Raw Data'!$B$2:$B$1001,"&gt;="&amp;D10,'Raw Data'!$B$2:$B$1001,"&lt;"&amp;D10+7)</f>
        <v>6100</v>
      </c>
      <c r="G10" s="1">
        <f>DATE(YEAR(MIN('Raw Data'!B2:B1001)),MONTH(MIN('Raw Data'!B2:B1001)),2)</f>
        <v>44928</v>
      </c>
      <c r="H10" s="6">
        <f>SUMIFS('Raw Data'!$I$2:$I$1001,'Raw Data'!$B$2:$B$1001,"&gt;="&amp;G10,'Raw Data'!$B$2:$B$1001,"&lt;"&amp;EDATE(G10,1))</f>
        <v>36550</v>
      </c>
    </row>
    <row r="11" spans="1:8">
      <c r="A11" s="1">
        <f t="shared" ref="A11:A74" si="0">A10+1</f>
        <v>44929</v>
      </c>
      <c r="B11" s="6">
        <f>SUMIF('Raw Data'!$B$2:$B$1001,A11,'Raw Data'!$I$2:$I$1001)</f>
        <v>600</v>
      </c>
      <c r="D11" s="1">
        <f t="shared" ref="D11:D15" si="1">D10+7</f>
        <v>44935</v>
      </c>
      <c r="E11" s="6">
        <f>SUMIFS('Raw Data'!$I$2:$I$1001,'Raw Data'!$B$2:$B$1001,"&gt;="&amp;D11,'Raw Data'!$B$2:$B$1001,"&lt;"&amp;D11+7)</f>
        <v>4850</v>
      </c>
      <c r="G11" s="1">
        <f>DATE(YEAR(MIN('Raw Data'!B2:B1001)),MONTH(MIN('Raw Data'!B2:B1001)),3)</f>
        <v>44929</v>
      </c>
      <c r="H11" s="6">
        <f>SUMIFS('Raw Data'!$I$2:$I$1001,'Raw Data'!$B$2:$B$1001,"&gt;="&amp;G11,'Raw Data'!$B$2:$B$1001,"&lt;"&amp;EDATE(G11,1))</f>
        <v>36160</v>
      </c>
    </row>
    <row r="12" spans="1:8">
      <c r="A12" s="1">
        <f t="shared" si="0"/>
        <v>44930</v>
      </c>
      <c r="B12" s="6">
        <f>SUMIF('Raw Data'!$B$2:$B$1001,A12,'Raw Data'!$I$2:$I$1001)</f>
        <v>1240</v>
      </c>
      <c r="D12" s="1">
        <f t="shared" si="1"/>
        <v>44942</v>
      </c>
      <c r="E12" s="6">
        <f>SUMIFS('Raw Data'!$I$2:$I$1001,'Raw Data'!$B$2:$B$1001,"&gt;="&amp;D12,'Raw Data'!$B$2:$B$1001,"&lt;"&amp;D12+7)</f>
        <v>8215</v>
      </c>
      <c r="G12" s="1">
        <f>DATE(YEAR(MIN('Raw Data'!B2:B1001)),MONTH(MIN('Raw Data'!B2:B1001)),4)</f>
        <v>44930</v>
      </c>
      <c r="H12" s="6">
        <f>SUMIFS('Raw Data'!$I$2:$I$1001,'Raw Data'!$B$2:$B$1001,"&gt;="&amp;G12,'Raw Data'!$B$2:$B$1001,"&lt;"&amp;EDATE(G12,1))</f>
        <v>36790</v>
      </c>
    </row>
    <row r="13" spans="1:8">
      <c r="A13" s="1">
        <f t="shared" si="0"/>
        <v>44931</v>
      </c>
      <c r="B13" s="6">
        <f>SUMIF('Raw Data'!$B$2:$B$1001,A13,'Raw Data'!$I$2:$I$1001)</f>
        <v>1100</v>
      </c>
      <c r="D13" s="1">
        <f>D12+7</f>
        <v>44949</v>
      </c>
      <c r="E13" s="6">
        <f>SUMIFS('Raw Data'!$I$2:$I$1001,'Raw Data'!$B$2:$B$1001,"&gt;="&amp;D13,'Raw Data'!$B$2:$B$1001,"&lt;"&amp;D13+7)</f>
        <v>9845</v>
      </c>
      <c r="G13" s="1">
        <f>DATE(YEAR(MIN('Raw Data'!B2:B1001)),MONTH(MIN('Raw Data'!B2:B1001)),5)</f>
        <v>44931</v>
      </c>
      <c r="H13" s="6">
        <f>SUMIFS('Raw Data'!$I$2:$I$1001,'Raw Data'!$B$2:$B$1001,"&gt;="&amp;G13,'Raw Data'!$B$2:$B$1001,"&lt;"&amp;EDATE(G13,1))</f>
        <v>36670</v>
      </c>
    </row>
    <row r="14" spans="1:8">
      <c r="A14" s="1">
        <f t="shared" si="0"/>
        <v>44932</v>
      </c>
      <c r="B14" s="6">
        <f>SUMIF('Raw Data'!$B$2:$B$1001,A14,'Raw Data'!$I$2:$I$1001)</f>
        <v>620</v>
      </c>
      <c r="D14" s="1">
        <f t="shared" ref="D14:D21" si="2">D13+7</f>
        <v>44956</v>
      </c>
      <c r="E14" s="6">
        <f>SUMIFS('Raw Data'!$I$2:$I$1001,'Raw Data'!$B$2:$B$1001,"&gt;="&amp;D14,'Raw Data'!$B$2:$B$1001,"&lt;"&amp;D14+7)</f>
        <v>13070</v>
      </c>
      <c r="G14" s="1">
        <f>DATE(YEAR(MIN('Raw Data'!B2:B1001)),MONTH(MIN('Raw Data'!B2:B1001)),6)</f>
        <v>44932</v>
      </c>
      <c r="H14" s="6">
        <f>SUMIFS('Raw Data'!$I$2:$I$1001,'Raw Data'!$B$2:$B$1001,"&gt;="&amp;G14,'Raw Data'!$B$2:$B$1001,"&lt;"&amp;EDATE(G14,1))</f>
        <v>37375</v>
      </c>
    </row>
    <row r="15" spans="1:8">
      <c r="A15" s="1">
        <f t="shared" si="0"/>
        <v>44933</v>
      </c>
      <c r="B15" s="6">
        <f>SUMIF('Raw Data'!$B$2:$B$1001,A15,'Raw Data'!$I$2:$I$1001)</f>
        <v>150</v>
      </c>
      <c r="D15" s="1">
        <f t="shared" si="2"/>
        <v>44963</v>
      </c>
      <c r="E15" s="6">
        <f>SUMIFS('Raw Data'!$I$2:$I$1001,'Raw Data'!$B$2:$B$1001,"&gt;="&amp;D15,'Raw Data'!$B$2:$B$1001,"&lt;"&amp;D15+7)</f>
        <v>8365</v>
      </c>
      <c r="G15" s="1">
        <f>DATE(YEAR(MIN('Raw Data'!B2:B1001)),MONTH(MIN('Raw Data'!B2:B1001)),7)</f>
        <v>44933</v>
      </c>
      <c r="H15" s="6">
        <f>SUMIFS('Raw Data'!$I$2:$I$1001,'Raw Data'!$B$2:$B$1001,"&gt;="&amp;G15,'Raw Data'!$B$2:$B$1001,"&lt;"&amp;EDATE(G15,1))</f>
        <v>37380</v>
      </c>
    </row>
    <row r="16" spans="1:8">
      <c r="A16" s="1">
        <f t="shared" si="0"/>
        <v>44934</v>
      </c>
      <c r="B16" s="6">
        <f>SUMIF('Raw Data'!$B$2:$B$1001,A16,'Raw Data'!$I$2:$I$1001)</f>
        <v>625</v>
      </c>
      <c r="D16" s="1">
        <f t="shared" si="2"/>
        <v>44970</v>
      </c>
      <c r="E16" s="6">
        <f>SUMIFS('Raw Data'!$I$2:$I$1001,'Raw Data'!$B$2:$B$1001,"&gt;="&amp;D16,'Raw Data'!$B$2:$B$1001,"&lt;"&amp;D16+7)</f>
        <v>13815</v>
      </c>
      <c r="G16" s="1">
        <f>DATE(YEAR(MIN('Raw Data'!B2:B1001)),MONTH(MIN('Raw Data'!B2:B1001)),8)</f>
        <v>44934</v>
      </c>
      <c r="H16" s="6">
        <f>SUMIFS('Raw Data'!$I$2:$I$1001,'Raw Data'!$B$2:$B$1001,"&gt;="&amp;G16,'Raw Data'!$B$2:$B$1001,"&lt;"&amp;EDATE(G16,1))</f>
        <v>39330</v>
      </c>
    </row>
    <row r="17" spans="1:8">
      <c r="A17" s="1">
        <f t="shared" si="0"/>
        <v>44935</v>
      </c>
      <c r="B17" s="6">
        <f>SUMIF('Raw Data'!$B$2:$B$1001,A17,'Raw Data'!$I$2:$I$1001)</f>
        <v>200</v>
      </c>
      <c r="D17" s="1">
        <f t="shared" si="2"/>
        <v>44977</v>
      </c>
      <c r="E17" s="6">
        <f>SUMIFS('Raw Data'!$I$2:$I$1001,'Raw Data'!$B$2:$B$1001,"&gt;="&amp;D17,'Raw Data'!$B$2:$B$1001,"&lt;"&amp;D17+7)</f>
        <v>7645</v>
      </c>
      <c r="G17" s="1">
        <f>DATE(YEAR(MIN('Raw Data'!B2:B1001)),MONTH(MIN('Raw Data'!B2:B1001)),9)</f>
        <v>44935</v>
      </c>
      <c r="H17" s="6">
        <f>SUMIFS('Raw Data'!$I$2:$I$1001,'Raw Data'!$B$2:$B$1001,"&gt;="&amp;G17,'Raw Data'!$B$2:$B$1001,"&lt;"&amp;EDATE(G17,1))</f>
        <v>39130</v>
      </c>
    </row>
    <row r="18" spans="1:8">
      <c r="A18" s="1">
        <f t="shared" si="0"/>
        <v>44936</v>
      </c>
      <c r="B18" s="6">
        <f>SUMIF('Raw Data'!$B$2:$B$1001,A18,'Raw Data'!$I$2:$I$1001)</f>
        <v>230</v>
      </c>
      <c r="D18" s="1">
        <f t="shared" si="2"/>
        <v>44984</v>
      </c>
      <c r="E18" s="6">
        <f>SUMIFS('Raw Data'!$I$2:$I$1001,'Raw Data'!$B$2:$B$1001,"&gt;="&amp;D18,'Raw Data'!$B$2:$B$1001,"&lt;"&amp;D18+7)</f>
        <v>7155</v>
      </c>
      <c r="G18" s="1">
        <f>DATE(YEAR(MIN('Raw Data'!B2:B1001)),MONTH(MIN('Raw Data'!B2:B1001)),10)</f>
        <v>44936</v>
      </c>
      <c r="H18" s="6">
        <f>SUMIFS('Raw Data'!$I$2:$I$1001,'Raw Data'!$B$2:$B$1001,"&gt;="&amp;G18,'Raw Data'!$B$2:$B$1001,"&lt;"&amp;EDATE(G18,1))</f>
        <v>39530</v>
      </c>
    </row>
    <row r="19" spans="1:8">
      <c r="A19" s="1">
        <f t="shared" si="0"/>
        <v>44937</v>
      </c>
      <c r="B19" s="6">
        <f>SUMIF('Raw Data'!$B$2:$B$1001,A19,'Raw Data'!$I$2:$I$1001)</f>
        <v>280</v>
      </c>
      <c r="D19" s="1">
        <f t="shared" si="2"/>
        <v>44991</v>
      </c>
      <c r="E19" s="6">
        <f>SUMIFS('Raw Data'!$I$2:$I$1001,'Raw Data'!$B$2:$B$1001,"&gt;="&amp;D19,'Raw Data'!$B$2:$B$1001,"&lt;"&amp;D19+7)</f>
        <v>6090</v>
      </c>
      <c r="G19" s="1">
        <f>DATE(YEAR(MIN('Raw Data'!B2:B1001)),MONTH(MIN('Raw Data'!B2:B1001)),11)</f>
        <v>44937</v>
      </c>
      <c r="H19" s="6">
        <f>SUMIFS('Raw Data'!$I$2:$I$1001,'Raw Data'!$B$2:$B$1001,"&gt;="&amp;G19,'Raw Data'!$B$2:$B$1001,"&lt;"&amp;EDATE(G19,1))</f>
        <v>41200</v>
      </c>
    </row>
    <row r="20" spans="1:8">
      <c r="A20" s="1">
        <f t="shared" si="0"/>
        <v>44938</v>
      </c>
      <c r="B20" s="6">
        <f>SUMIF('Raw Data'!$B$2:$B$1001,A20,'Raw Data'!$I$2:$I$1001)</f>
        <v>0</v>
      </c>
      <c r="D20" s="1">
        <f t="shared" si="2"/>
        <v>44998</v>
      </c>
      <c r="E20" s="6">
        <f>SUMIFS('Raw Data'!$I$2:$I$1001,'Raw Data'!$B$2:$B$1001,"&gt;="&amp;D20,'Raw Data'!$B$2:$B$1001,"&lt;"&amp;D20+7)</f>
        <v>4075</v>
      </c>
      <c r="G20" s="1">
        <f>DATE(YEAR(MIN('Raw Data'!B2:B1001)),MONTH(MIN('Raw Data'!B2:B1001)),12)</f>
        <v>44938</v>
      </c>
      <c r="H20" s="6">
        <f>SUMIFS('Raw Data'!$I$2:$I$1001,'Raw Data'!$B$2:$B$1001,"&gt;="&amp;G20,'Raw Data'!$B$2:$B$1001,"&lt;"&amp;EDATE(G20,1))</f>
        <v>43135</v>
      </c>
    </row>
    <row r="21" spans="1:8">
      <c r="A21" s="1">
        <f t="shared" si="0"/>
        <v>44939</v>
      </c>
      <c r="B21" s="6">
        <f>SUMIF('Raw Data'!$B$2:$B$1001,A21,'Raw Data'!$I$2:$I$1001)</f>
        <v>1930</v>
      </c>
      <c r="D21" s="1">
        <f t="shared" si="2"/>
        <v>45005</v>
      </c>
      <c r="E21" s="6">
        <f>SUMIFS('Raw Data'!$I$2:$I$1001,'Raw Data'!$B$2:$B$1001,"&gt;="&amp;D21,'Raw Data'!$B$2:$B$1001,"&lt;"&amp;D21+7)</f>
        <v>13085</v>
      </c>
      <c r="G21" s="1">
        <f>DATE(YEAR(MIN('Raw Data'!B2:B1001)),MONTH(MIN('Raw Data'!B2:B1001)),1)</f>
        <v>44927</v>
      </c>
      <c r="H21" s="6">
        <f>SUMIFS('Raw Data'!$I$2:$I$1001,'Raw Data'!$B$2:$B$1001,"&gt;="&amp;G21,'Raw Data'!$B$2:$B$1001,"&lt;"&amp;EDATE(G21,1))</f>
        <v>35450</v>
      </c>
    </row>
    <row r="22" spans="1:8">
      <c r="A22" s="1">
        <f t="shared" si="0"/>
        <v>44940</v>
      </c>
      <c r="B22" s="6">
        <f>SUMIF('Raw Data'!$B$2:$B$1001,A22,'Raw Data'!$I$2:$I$1001)</f>
        <v>1550</v>
      </c>
      <c r="D22" s="1"/>
    </row>
    <row r="23" spans="1:8">
      <c r="A23" s="1">
        <f t="shared" si="0"/>
        <v>44941</v>
      </c>
      <c r="B23" s="6">
        <f>SUMIF('Raw Data'!$B$2:$B$1001,A23,'Raw Data'!$I$2:$I$1001)</f>
        <v>660</v>
      </c>
    </row>
    <row r="24" spans="1:8">
      <c r="A24" s="1">
        <f t="shared" si="0"/>
        <v>44942</v>
      </c>
      <c r="B24" s="6">
        <f>SUMIF('Raw Data'!$B$2:$B$1001,A24,'Raw Data'!$I$2:$I$1001)</f>
        <v>4000</v>
      </c>
    </row>
    <row r="25" spans="1:8">
      <c r="A25" s="1">
        <f t="shared" si="0"/>
        <v>44943</v>
      </c>
      <c r="B25" s="6">
        <f>SUMIF('Raw Data'!$B$2:$B$1001,A25,'Raw Data'!$I$2:$I$1001)</f>
        <v>1645</v>
      </c>
    </row>
    <row r="26" spans="1:8">
      <c r="A26" s="1">
        <f t="shared" si="0"/>
        <v>44944</v>
      </c>
      <c r="B26" s="6">
        <f>SUMIF('Raw Data'!$B$2:$B$1001,A26,'Raw Data'!$I$2:$I$1001)</f>
        <v>0</v>
      </c>
    </row>
    <row r="27" spans="1:8" ht="46.5">
      <c r="A27" s="1">
        <f t="shared" si="0"/>
        <v>44945</v>
      </c>
      <c r="B27" s="6">
        <f>SUMIF('Raw Data'!$B$2:$B$1001,A27,'Raw Data'!$I$2:$I$1001)</f>
        <v>30</v>
      </c>
      <c r="D27" s="8" t="s">
        <v>1024</v>
      </c>
    </row>
    <row r="28" spans="1:8">
      <c r="A28" s="1">
        <f t="shared" si="0"/>
        <v>44946</v>
      </c>
      <c r="B28" s="6">
        <f>SUMIF('Raw Data'!$B$2:$B$1001,A28,'Raw Data'!$I$2:$I$1001)</f>
        <v>125</v>
      </c>
    </row>
    <row r="29" spans="1:8">
      <c r="A29" s="1">
        <f t="shared" si="0"/>
        <v>44947</v>
      </c>
      <c r="B29" s="6">
        <f>SUMIF('Raw Data'!$B$2:$B$1001,A29,'Raw Data'!$I$2:$I$1001)</f>
        <v>2090</v>
      </c>
    </row>
    <row r="30" spans="1:8">
      <c r="A30" s="1">
        <f t="shared" si="0"/>
        <v>44948</v>
      </c>
      <c r="B30" s="6">
        <f>SUMIF('Raw Data'!$B$2:$B$1001,A30,'Raw Data'!$I$2:$I$1001)</f>
        <v>325</v>
      </c>
    </row>
    <row r="31" spans="1:8">
      <c r="A31" s="1">
        <f t="shared" si="0"/>
        <v>44949</v>
      </c>
      <c r="B31" s="6">
        <f>SUMIF('Raw Data'!$B$2:$B$1001,A31,'Raw Data'!$I$2:$I$1001)</f>
        <v>3120</v>
      </c>
    </row>
    <row r="32" spans="1:8">
      <c r="A32" s="1">
        <f t="shared" si="0"/>
        <v>44950</v>
      </c>
      <c r="B32" s="6">
        <f>SUMIF('Raw Data'!$B$2:$B$1001,A32,'Raw Data'!$I$2:$I$1001)</f>
        <v>2250</v>
      </c>
    </row>
    <row r="33" spans="1:2">
      <c r="A33" s="1">
        <f t="shared" si="0"/>
        <v>44951</v>
      </c>
      <c r="B33" s="6">
        <f>SUMIF('Raw Data'!$B$2:$B$1001,A33,'Raw Data'!$I$2:$I$1001)</f>
        <v>50</v>
      </c>
    </row>
    <row r="34" spans="1:2">
      <c r="A34" s="1">
        <f t="shared" si="0"/>
        <v>44952</v>
      </c>
      <c r="B34" s="6">
        <f>SUMIF('Raw Data'!$B$2:$B$1001,A34,'Raw Data'!$I$2:$I$1001)</f>
        <v>2570</v>
      </c>
    </row>
    <row r="35" spans="1:2">
      <c r="A35" s="1">
        <f t="shared" si="0"/>
        <v>44953</v>
      </c>
      <c r="B35" s="6">
        <f>SUMIF('Raw Data'!$B$2:$B$1001,A35,'Raw Data'!$I$2:$I$1001)</f>
        <v>235</v>
      </c>
    </row>
    <row r="36" spans="1:2">
      <c r="A36" s="1">
        <f t="shared" si="0"/>
        <v>44954</v>
      </c>
      <c r="B36" s="6">
        <f>SUMIF('Raw Data'!$B$2:$B$1001,A36,'Raw Data'!$I$2:$I$1001)</f>
        <v>1020</v>
      </c>
    </row>
    <row r="37" spans="1:2">
      <c r="A37" s="1">
        <f t="shared" si="0"/>
        <v>44955</v>
      </c>
      <c r="B37" s="6">
        <f>SUMIF('Raw Data'!$B$2:$B$1001,A37,'Raw Data'!$I$2:$I$1001)</f>
        <v>600</v>
      </c>
    </row>
    <row r="38" spans="1:2">
      <c r="A38" s="1">
        <f t="shared" si="0"/>
        <v>44956</v>
      </c>
      <c r="B38" s="6">
        <f>SUMIF('Raw Data'!$B$2:$B$1001,A38,'Raw Data'!$I$2:$I$1001)</f>
        <v>740</v>
      </c>
    </row>
    <row r="39" spans="1:2">
      <c r="A39" s="1">
        <f t="shared" si="0"/>
        <v>44957</v>
      </c>
      <c r="B39" s="6">
        <f>SUMIF('Raw Data'!$B$2:$B$1001,A39,'Raw Data'!$I$2:$I$1001)</f>
        <v>2100</v>
      </c>
    </row>
    <row r="40" spans="1:2">
      <c r="A40" s="1">
        <f t="shared" si="0"/>
        <v>44958</v>
      </c>
      <c r="B40" s="6">
        <f>SUMIF('Raw Data'!$B$2:$B$1001,A40,'Raw Data'!$I$2:$I$1001)</f>
        <v>4700</v>
      </c>
    </row>
    <row r="41" spans="1:2">
      <c r="A41" s="1">
        <f t="shared" si="0"/>
        <v>44959</v>
      </c>
      <c r="B41" s="6">
        <f>SUMIF('Raw Data'!$B$2:$B$1001,A41,'Raw Data'!$I$2:$I$1001)</f>
        <v>1375</v>
      </c>
    </row>
    <row r="42" spans="1:2">
      <c r="A42" s="1">
        <f t="shared" si="0"/>
        <v>44960</v>
      </c>
      <c r="B42" s="6">
        <f>SUMIF('Raw Data'!$B$2:$B$1001,A42,'Raw Data'!$I$2:$I$1001)</f>
        <v>1230</v>
      </c>
    </row>
    <row r="43" spans="1:2">
      <c r="A43" s="1">
        <f t="shared" si="0"/>
        <v>44961</v>
      </c>
      <c r="B43" s="6">
        <f>SUMIF('Raw Data'!$B$2:$B$1001,A43,'Raw Data'!$I$2:$I$1001)</f>
        <v>1120</v>
      </c>
    </row>
    <row r="44" spans="1:2">
      <c r="A44" s="1">
        <f t="shared" si="0"/>
        <v>44962</v>
      </c>
      <c r="B44" s="6">
        <f>SUMIF('Raw Data'!$B$2:$B$1001,A44,'Raw Data'!$I$2:$I$1001)</f>
        <v>1805</v>
      </c>
    </row>
    <row r="45" spans="1:2">
      <c r="A45" s="1">
        <f t="shared" si="0"/>
        <v>44963</v>
      </c>
      <c r="B45" s="6">
        <f>SUMIF('Raw Data'!$B$2:$B$1001,A45,'Raw Data'!$I$2:$I$1001)</f>
        <v>625</v>
      </c>
    </row>
    <row r="46" spans="1:2">
      <c r="A46" s="1">
        <f t="shared" si="0"/>
        <v>44964</v>
      </c>
      <c r="B46" s="6">
        <f>SUMIF('Raw Data'!$B$2:$B$1001,A46,'Raw Data'!$I$2:$I$1001)</f>
        <v>2100</v>
      </c>
    </row>
    <row r="47" spans="1:2">
      <c r="A47" s="1">
        <f t="shared" si="0"/>
        <v>44965</v>
      </c>
      <c r="B47" s="6">
        <f>SUMIF('Raw Data'!$B$2:$B$1001,A47,'Raw Data'!$I$2:$I$1001)</f>
        <v>425</v>
      </c>
    </row>
    <row r="48" spans="1:2">
      <c r="A48" s="1">
        <f t="shared" si="0"/>
        <v>44966</v>
      </c>
      <c r="B48" s="6">
        <f>SUMIF('Raw Data'!$B$2:$B$1001,A48,'Raw Data'!$I$2:$I$1001)</f>
        <v>600</v>
      </c>
    </row>
    <row r="49" spans="1:2">
      <c r="A49" s="1">
        <f t="shared" si="0"/>
        <v>44967</v>
      </c>
      <c r="B49" s="6">
        <f>SUMIF('Raw Data'!$B$2:$B$1001,A49,'Raw Data'!$I$2:$I$1001)</f>
        <v>1900</v>
      </c>
    </row>
    <row r="50" spans="1:2">
      <c r="A50" s="1">
        <f t="shared" si="0"/>
        <v>44968</v>
      </c>
      <c r="B50" s="6">
        <f>SUMIF('Raw Data'!$B$2:$B$1001,A50,'Raw Data'!$I$2:$I$1001)</f>
        <v>2215</v>
      </c>
    </row>
    <row r="51" spans="1:2">
      <c r="A51" s="1">
        <f t="shared" si="0"/>
        <v>44969</v>
      </c>
      <c r="B51" s="6">
        <f>SUMIF('Raw Data'!$B$2:$B$1001,A51,'Raw Data'!$I$2:$I$1001)</f>
        <v>500</v>
      </c>
    </row>
    <row r="52" spans="1:2">
      <c r="A52" s="1">
        <f t="shared" si="0"/>
        <v>44970</v>
      </c>
      <c r="B52" s="6">
        <f>SUMIF('Raw Data'!$B$2:$B$1001,A52,'Raw Data'!$I$2:$I$1001)</f>
        <v>3600</v>
      </c>
    </row>
    <row r="53" spans="1:2">
      <c r="A53" s="1">
        <f t="shared" si="0"/>
        <v>44971</v>
      </c>
      <c r="B53" s="6">
        <f>SUMIF('Raw Data'!$B$2:$B$1001,A53,'Raw Data'!$I$2:$I$1001)</f>
        <v>400</v>
      </c>
    </row>
    <row r="54" spans="1:2">
      <c r="A54" s="1">
        <f t="shared" si="0"/>
        <v>44972</v>
      </c>
      <c r="B54" s="6">
        <f>SUMIF('Raw Data'!$B$2:$B$1001,A54,'Raw Data'!$I$2:$I$1001)</f>
        <v>0</v>
      </c>
    </row>
    <row r="55" spans="1:2">
      <c r="A55" s="1">
        <f t="shared" si="0"/>
        <v>44973</v>
      </c>
      <c r="B55" s="6">
        <f>SUMIF('Raw Data'!$B$2:$B$1001,A55,'Raw Data'!$I$2:$I$1001)</f>
        <v>900</v>
      </c>
    </row>
    <row r="56" spans="1:2">
      <c r="A56" s="1">
        <f t="shared" si="0"/>
        <v>44974</v>
      </c>
      <c r="B56" s="6">
        <f>SUMIF('Raw Data'!$B$2:$B$1001,A56,'Raw Data'!$I$2:$I$1001)</f>
        <v>5890</v>
      </c>
    </row>
    <row r="57" spans="1:2">
      <c r="A57" s="1">
        <f t="shared" si="0"/>
        <v>44975</v>
      </c>
      <c r="B57" s="6">
        <f>SUMIF('Raw Data'!$B$2:$B$1001,A57,'Raw Data'!$I$2:$I$1001)</f>
        <v>1000</v>
      </c>
    </row>
    <row r="58" spans="1:2">
      <c r="A58" s="1">
        <f t="shared" si="0"/>
        <v>44976</v>
      </c>
      <c r="B58" s="6">
        <f>SUMIF('Raw Data'!$B$2:$B$1001,A58,'Raw Data'!$I$2:$I$1001)</f>
        <v>2025</v>
      </c>
    </row>
    <row r="59" spans="1:2">
      <c r="A59" s="1">
        <f t="shared" si="0"/>
        <v>44977</v>
      </c>
      <c r="B59" s="6">
        <f>SUMIF('Raw Data'!$B$2:$B$1001,A59,'Raw Data'!$I$2:$I$1001)</f>
        <v>1130</v>
      </c>
    </row>
    <row r="60" spans="1:2">
      <c r="A60" s="1">
        <f t="shared" si="0"/>
        <v>44978</v>
      </c>
      <c r="B60" s="6">
        <f>SUMIF('Raw Data'!$B$2:$B$1001,A60,'Raw Data'!$I$2:$I$1001)</f>
        <v>385</v>
      </c>
    </row>
    <row r="61" spans="1:2">
      <c r="A61" s="1">
        <f t="shared" si="0"/>
        <v>44979</v>
      </c>
      <c r="B61" s="6">
        <f>SUMIF('Raw Data'!$B$2:$B$1001,A61,'Raw Data'!$I$2:$I$1001)</f>
        <v>300</v>
      </c>
    </row>
    <row r="62" spans="1:2">
      <c r="A62" s="1">
        <f t="shared" si="0"/>
        <v>44980</v>
      </c>
      <c r="B62" s="6">
        <f>SUMIF('Raw Data'!$B$2:$B$1001,A62,'Raw Data'!$I$2:$I$1001)</f>
        <v>30</v>
      </c>
    </row>
    <row r="63" spans="1:2">
      <c r="A63" s="1">
        <f t="shared" si="0"/>
        <v>44981</v>
      </c>
      <c r="B63" s="6">
        <f>SUMIF('Raw Data'!$B$2:$B$1001,A63,'Raw Data'!$I$2:$I$1001)</f>
        <v>3200</v>
      </c>
    </row>
    <row r="64" spans="1:2">
      <c r="A64" s="1">
        <f t="shared" si="0"/>
        <v>44982</v>
      </c>
      <c r="B64" s="6">
        <f>SUMIF('Raw Data'!$B$2:$B$1001,A64,'Raw Data'!$I$2:$I$1001)</f>
        <v>2550</v>
      </c>
    </row>
    <row r="65" spans="1:2">
      <c r="A65" s="1">
        <f t="shared" si="0"/>
        <v>44983</v>
      </c>
      <c r="B65" s="6">
        <f>SUMIF('Raw Data'!$B$2:$B$1001,A65,'Raw Data'!$I$2:$I$1001)</f>
        <v>50</v>
      </c>
    </row>
    <row r="66" spans="1:2">
      <c r="A66" s="1">
        <f t="shared" si="0"/>
        <v>44984</v>
      </c>
      <c r="B66" s="6">
        <f>SUMIF('Raw Data'!$B$2:$B$1001,A66,'Raw Data'!$I$2:$I$1001)</f>
        <v>1825</v>
      </c>
    </row>
    <row r="67" spans="1:2">
      <c r="A67" s="1">
        <f t="shared" si="0"/>
        <v>44985</v>
      </c>
      <c r="B67" s="6">
        <f>SUMIF('Raw Data'!$B$2:$B$1001,A67,'Raw Data'!$I$2:$I$1001)</f>
        <v>2180</v>
      </c>
    </row>
    <row r="68" spans="1:2">
      <c r="A68" s="1">
        <f t="shared" si="0"/>
        <v>44986</v>
      </c>
      <c r="B68" s="6">
        <f>SUMIF('Raw Data'!$B$2:$B$1001,A68,'Raw Data'!$I$2:$I$1001)</f>
        <v>460</v>
      </c>
    </row>
    <row r="69" spans="1:2">
      <c r="A69" s="1">
        <f t="shared" si="0"/>
        <v>44987</v>
      </c>
      <c r="B69" s="6">
        <f>SUMIF('Raw Data'!$B$2:$B$1001,A69,'Raw Data'!$I$2:$I$1001)</f>
        <v>300</v>
      </c>
    </row>
    <row r="70" spans="1:2">
      <c r="A70" s="1">
        <f t="shared" si="0"/>
        <v>44988</v>
      </c>
      <c r="B70" s="6">
        <f>SUMIF('Raw Data'!$B$2:$B$1001,A70,'Raw Data'!$I$2:$I$1001)</f>
        <v>970</v>
      </c>
    </row>
    <row r="71" spans="1:2">
      <c r="A71" s="1">
        <f t="shared" si="0"/>
        <v>44989</v>
      </c>
      <c r="B71" s="6">
        <f>SUMIF('Raw Data'!$B$2:$B$1001,A71,'Raw Data'!$I$2:$I$1001)</f>
        <v>1000</v>
      </c>
    </row>
    <row r="72" spans="1:2">
      <c r="A72" s="1">
        <f t="shared" si="0"/>
        <v>44990</v>
      </c>
      <c r="B72" s="6">
        <f>SUMIF('Raw Data'!$B$2:$B$1001,A72,'Raw Data'!$I$2:$I$1001)</f>
        <v>420</v>
      </c>
    </row>
    <row r="73" spans="1:2">
      <c r="A73" s="1">
        <f t="shared" si="0"/>
        <v>44991</v>
      </c>
      <c r="B73" s="6">
        <f>SUMIF('Raw Data'!$B$2:$B$1001,A73,'Raw Data'!$I$2:$I$1001)</f>
        <v>625</v>
      </c>
    </row>
    <row r="74" spans="1:2">
      <c r="A74" s="1">
        <f t="shared" si="0"/>
        <v>44992</v>
      </c>
      <c r="B74" s="6">
        <f>SUMIF('Raw Data'!$B$2:$B$1001,A74,'Raw Data'!$I$2:$I$1001)</f>
        <v>3040</v>
      </c>
    </row>
    <row r="75" spans="1:2">
      <c r="A75" s="1">
        <f t="shared" ref="A75:A138" si="3">A74+1</f>
        <v>44993</v>
      </c>
      <c r="B75" s="6">
        <f>SUMIF('Raw Data'!$B$2:$B$1001,A75,'Raw Data'!$I$2:$I$1001)</f>
        <v>25</v>
      </c>
    </row>
    <row r="76" spans="1:2">
      <c r="A76" s="1">
        <f t="shared" si="3"/>
        <v>44994</v>
      </c>
      <c r="B76" s="6">
        <f>SUMIF('Raw Data'!$B$2:$B$1001,A76,'Raw Data'!$I$2:$I$1001)</f>
        <v>1200</v>
      </c>
    </row>
    <row r="77" spans="1:2">
      <c r="A77" s="1">
        <f t="shared" si="3"/>
        <v>44995</v>
      </c>
      <c r="B77" s="6">
        <f>SUMIF('Raw Data'!$B$2:$B$1001,A77,'Raw Data'!$I$2:$I$1001)</f>
        <v>175</v>
      </c>
    </row>
    <row r="78" spans="1:2">
      <c r="A78" s="1">
        <f t="shared" si="3"/>
        <v>44996</v>
      </c>
      <c r="B78" s="6">
        <f>SUMIF('Raw Data'!$B$2:$B$1001,A78,'Raw Data'!$I$2:$I$1001)</f>
        <v>500</v>
      </c>
    </row>
    <row r="79" spans="1:2">
      <c r="A79" s="1">
        <f t="shared" si="3"/>
        <v>44997</v>
      </c>
      <c r="B79" s="6">
        <f>SUMIF('Raw Data'!$B$2:$B$1001,A79,'Raw Data'!$I$2:$I$1001)</f>
        <v>525</v>
      </c>
    </row>
    <row r="80" spans="1:2">
      <c r="A80" s="1">
        <f t="shared" si="3"/>
        <v>44998</v>
      </c>
      <c r="B80" s="6">
        <f>SUMIF('Raw Data'!$B$2:$B$1001,A80,'Raw Data'!$I$2:$I$1001)</f>
        <v>300</v>
      </c>
    </row>
    <row r="81" spans="1:2">
      <c r="A81" s="1">
        <f t="shared" si="3"/>
        <v>44999</v>
      </c>
      <c r="B81" s="6">
        <f>SUMIF('Raw Data'!$B$2:$B$1001,A81,'Raw Data'!$I$2:$I$1001)</f>
        <v>0</v>
      </c>
    </row>
    <row r="82" spans="1:2">
      <c r="A82" s="1">
        <f t="shared" si="3"/>
        <v>45000</v>
      </c>
      <c r="B82" s="6">
        <f>SUMIF('Raw Data'!$B$2:$B$1001,A82,'Raw Data'!$I$2:$I$1001)</f>
        <v>1000</v>
      </c>
    </row>
    <row r="83" spans="1:2">
      <c r="A83" s="1">
        <f t="shared" si="3"/>
        <v>45001</v>
      </c>
      <c r="B83" s="6">
        <f>SUMIF('Raw Data'!$B$2:$B$1001,A83,'Raw Data'!$I$2:$I$1001)</f>
        <v>0</v>
      </c>
    </row>
    <row r="84" spans="1:2">
      <c r="A84" s="1">
        <f t="shared" si="3"/>
        <v>45002</v>
      </c>
      <c r="B84" s="6">
        <f>SUMIF('Raw Data'!$B$2:$B$1001,A84,'Raw Data'!$I$2:$I$1001)</f>
        <v>1075</v>
      </c>
    </row>
    <row r="85" spans="1:2">
      <c r="A85" s="1">
        <f t="shared" si="3"/>
        <v>45003</v>
      </c>
      <c r="B85" s="6">
        <f>SUMIF('Raw Data'!$B$2:$B$1001,A85,'Raw Data'!$I$2:$I$1001)</f>
        <v>1620</v>
      </c>
    </row>
    <row r="86" spans="1:2">
      <c r="A86" s="1">
        <f t="shared" si="3"/>
        <v>45004</v>
      </c>
      <c r="B86" s="6">
        <f>SUMIF('Raw Data'!$B$2:$B$1001,A86,'Raw Data'!$I$2:$I$1001)</f>
        <v>80</v>
      </c>
    </row>
    <row r="87" spans="1:2">
      <c r="A87" s="1">
        <f t="shared" si="3"/>
        <v>45005</v>
      </c>
      <c r="B87" s="6">
        <f>SUMIF('Raw Data'!$B$2:$B$1001,A87,'Raw Data'!$I$2:$I$1001)</f>
        <v>2950</v>
      </c>
    </row>
    <row r="88" spans="1:2">
      <c r="A88" s="1">
        <f t="shared" si="3"/>
        <v>45006</v>
      </c>
      <c r="B88" s="6">
        <f>SUMIF('Raw Data'!$B$2:$B$1001,A88,'Raw Data'!$I$2:$I$1001)</f>
        <v>3500</v>
      </c>
    </row>
    <row r="89" spans="1:2">
      <c r="A89" s="1">
        <f t="shared" si="3"/>
        <v>45007</v>
      </c>
      <c r="B89" s="6">
        <f>SUMIF('Raw Data'!$B$2:$B$1001,A89,'Raw Data'!$I$2:$I$1001)</f>
        <v>1390</v>
      </c>
    </row>
    <row r="90" spans="1:2">
      <c r="A90" s="1">
        <f t="shared" si="3"/>
        <v>45008</v>
      </c>
      <c r="B90" s="6">
        <f>SUMIF('Raw Data'!$B$2:$B$1001,A90,'Raw Data'!$I$2:$I$1001)</f>
        <v>1950</v>
      </c>
    </row>
    <row r="91" spans="1:2">
      <c r="A91" s="1">
        <f t="shared" si="3"/>
        <v>45009</v>
      </c>
      <c r="B91" s="6">
        <f>SUMIF('Raw Data'!$B$2:$B$1001,A91,'Raw Data'!$I$2:$I$1001)</f>
        <v>250</v>
      </c>
    </row>
    <row r="92" spans="1:2">
      <c r="A92" s="1">
        <f t="shared" si="3"/>
        <v>45010</v>
      </c>
      <c r="B92" s="6">
        <f>SUMIF('Raw Data'!$B$2:$B$1001,A92,'Raw Data'!$I$2:$I$1001)</f>
        <v>1625</v>
      </c>
    </row>
    <row r="93" spans="1:2">
      <c r="A93" s="1">
        <f t="shared" si="3"/>
        <v>45011</v>
      </c>
      <c r="B93" s="6">
        <f>SUMIF('Raw Data'!$B$2:$B$1001,A93,'Raw Data'!$I$2:$I$1001)</f>
        <v>1420</v>
      </c>
    </row>
    <row r="94" spans="1:2">
      <c r="A94" s="1">
        <f t="shared" si="3"/>
        <v>45012</v>
      </c>
      <c r="B94" s="6">
        <f>SUMIF('Raw Data'!$B$2:$B$1001,A94,'Raw Data'!$I$2:$I$1001)</f>
        <v>590</v>
      </c>
    </row>
    <row r="95" spans="1:2">
      <c r="A95" s="1">
        <f t="shared" si="3"/>
        <v>45013</v>
      </c>
      <c r="B95" s="6">
        <f>SUMIF('Raw Data'!$B$2:$B$1001,A95,'Raw Data'!$I$2:$I$1001)</f>
        <v>100</v>
      </c>
    </row>
    <row r="96" spans="1:2">
      <c r="A96" s="1">
        <f t="shared" si="3"/>
        <v>45014</v>
      </c>
      <c r="B96" s="6">
        <f>SUMIF('Raw Data'!$B$2:$B$1001,A96,'Raw Data'!$I$2:$I$1001)</f>
        <v>500</v>
      </c>
    </row>
    <row r="97" spans="1:2">
      <c r="A97" s="1">
        <f t="shared" si="3"/>
        <v>45015</v>
      </c>
      <c r="B97" s="6">
        <f>SUMIF('Raw Data'!$B$2:$B$1001,A97,'Raw Data'!$I$2:$I$1001)</f>
        <v>200</v>
      </c>
    </row>
    <row r="98" spans="1:2">
      <c r="A98" s="1">
        <f t="shared" si="3"/>
        <v>45016</v>
      </c>
      <c r="B98" s="6">
        <f>SUMIF('Raw Data'!$B$2:$B$1001,A98,'Raw Data'!$I$2:$I$1001)</f>
        <v>1200</v>
      </c>
    </row>
    <row r="99" spans="1:2">
      <c r="A99" s="1">
        <f t="shared" si="3"/>
        <v>45017</v>
      </c>
      <c r="B99" s="6">
        <f>SUMIF('Raw Data'!$B$2:$B$1001,A99,'Raw Data'!$I$2:$I$1001)</f>
        <v>4400</v>
      </c>
    </row>
    <row r="100" spans="1:2">
      <c r="A100" s="1">
        <f t="shared" si="3"/>
        <v>45018</v>
      </c>
      <c r="B100" s="6">
        <f>SUMIF('Raw Data'!$B$2:$B$1001,A100,'Raw Data'!$I$2:$I$1001)</f>
        <v>2600</v>
      </c>
    </row>
    <row r="101" spans="1:2">
      <c r="A101" s="1">
        <f t="shared" si="3"/>
        <v>45019</v>
      </c>
      <c r="B101" s="6">
        <f>SUMIF('Raw Data'!$B$2:$B$1001,A101,'Raw Data'!$I$2:$I$1001)</f>
        <v>0</v>
      </c>
    </row>
    <row r="102" spans="1:2">
      <c r="A102" s="1">
        <f t="shared" si="3"/>
        <v>45020</v>
      </c>
      <c r="B102" s="6">
        <f>SUMIF('Raw Data'!$B$2:$B$1001,A102,'Raw Data'!$I$2:$I$1001)</f>
        <v>1620</v>
      </c>
    </row>
    <row r="103" spans="1:2">
      <c r="A103" s="1">
        <f t="shared" si="3"/>
        <v>45021</v>
      </c>
      <c r="B103" s="6">
        <f>SUMIF('Raw Data'!$B$2:$B$1001,A103,'Raw Data'!$I$2:$I$1001)</f>
        <v>2100</v>
      </c>
    </row>
    <row r="104" spans="1:2">
      <c r="A104" s="1">
        <f t="shared" si="3"/>
        <v>45022</v>
      </c>
      <c r="B104" s="6">
        <f>SUMIF('Raw Data'!$B$2:$B$1001,A104,'Raw Data'!$I$2:$I$1001)</f>
        <v>1200</v>
      </c>
    </row>
    <row r="105" spans="1:2">
      <c r="A105" s="1">
        <f t="shared" si="3"/>
        <v>45023</v>
      </c>
      <c r="B105" s="6">
        <f>SUMIF('Raw Data'!$B$2:$B$1001,A105,'Raw Data'!$I$2:$I$1001)</f>
        <v>0</v>
      </c>
    </row>
    <row r="106" spans="1:2">
      <c r="A106" s="1">
        <f t="shared" si="3"/>
        <v>45024</v>
      </c>
      <c r="B106" s="6">
        <f>SUMIF('Raw Data'!$B$2:$B$1001,A106,'Raw Data'!$I$2:$I$1001)</f>
        <v>2450</v>
      </c>
    </row>
    <row r="107" spans="1:2">
      <c r="A107" s="1">
        <f t="shared" si="3"/>
        <v>45025</v>
      </c>
      <c r="B107" s="6">
        <f>SUMIF('Raw Data'!$B$2:$B$1001,A107,'Raw Data'!$I$2:$I$1001)</f>
        <v>2235</v>
      </c>
    </row>
    <row r="108" spans="1:2">
      <c r="A108" s="1">
        <f t="shared" si="3"/>
        <v>45026</v>
      </c>
      <c r="B108" s="6">
        <f>SUMIF('Raw Data'!$B$2:$B$1001,A108,'Raw Data'!$I$2:$I$1001)</f>
        <v>60</v>
      </c>
    </row>
    <row r="109" spans="1:2">
      <c r="A109" s="1">
        <f t="shared" si="3"/>
        <v>45027</v>
      </c>
      <c r="B109" s="6">
        <f>SUMIF('Raw Data'!$B$2:$B$1001,A109,'Raw Data'!$I$2:$I$1001)</f>
        <v>50</v>
      </c>
    </row>
    <row r="110" spans="1:2">
      <c r="A110" s="1">
        <f t="shared" si="3"/>
        <v>45028</v>
      </c>
      <c r="B110" s="6">
        <f>SUMIF('Raw Data'!$B$2:$B$1001,A110,'Raw Data'!$I$2:$I$1001)</f>
        <v>1590</v>
      </c>
    </row>
    <row r="111" spans="1:2">
      <c r="A111" s="1">
        <f t="shared" si="3"/>
        <v>45029</v>
      </c>
      <c r="B111" s="6">
        <f>SUMIF('Raw Data'!$B$2:$B$1001,A111,'Raw Data'!$I$2:$I$1001)</f>
        <v>360</v>
      </c>
    </row>
    <row r="112" spans="1:2">
      <c r="A112" s="1">
        <f t="shared" si="3"/>
        <v>45030</v>
      </c>
      <c r="B112" s="6">
        <f>SUMIF('Raw Data'!$B$2:$B$1001,A112,'Raw Data'!$I$2:$I$1001)</f>
        <v>0</v>
      </c>
    </row>
    <row r="113" spans="1:2">
      <c r="A113" s="1">
        <f t="shared" si="3"/>
        <v>45031</v>
      </c>
      <c r="B113" s="6">
        <f>SUMIF('Raw Data'!$B$2:$B$1001,A113,'Raw Data'!$I$2:$I$1001)</f>
        <v>700</v>
      </c>
    </row>
    <row r="114" spans="1:2">
      <c r="A114" s="1">
        <f t="shared" si="3"/>
        <v>45032</v>
      </c>
      <c r="B114" s="6">
        <f>SUMIF('Raw Data'!$B$2:$B$1001,A114,'Raw Data'!$I$2:$I$1001)</f>
        <v>300</v>
      </c>
    </row>
    <row r="115" spans="1:2">
      <c r="A115" s="1">
        <f t="shared" si="3"/>
        <v>45033</v>
      </c>
      <c r="B115" s="6">
        <f>SUMIF('Raw Data'!$B$2:$B$1001,A115,'Raw Data'!$I$2:$I$1001)</f>
        <v>25</v>
      </c>
    </row>
    <row r="116" spans="1:2">
      <c r="A116" s="1">
        <f t="shared" si="3"/>
        <v>45034</v>
      </c>
      <c r="B116" s="6">
        <f>SUMIF('Raw Data'!$B$2:$B$1001,A116,'Raw Data'!$I$2:$I$1001)</f>
        <v>500</v>
      </c>
    </row>
    <row r="117" spans="1:2">
      <c r="A117" s="1">
        <f t="shared" si="3"/>
        <v>45035</v>
      </c>
      <c r="B117" s="6">
        <f>SUMIF('Raw Data'!$B$2:$B$1001,A117,'Raw Data'!$I$2:$I$1001)</f>
        <v>2725</v>
      </c>
    </row>
    <row r="118" spans="1:2">
      <c r="A118" s="1">
        <f t="shared" si="3"/>
        <v>45036</v>
      </c>
      <c r="B118" s="6">
        <f>SUMIF('Raw Data'!$B$2:$B$1001,A118,'Raw Data'!$I$2:$I$1001)</f>
        <v>3375</v>
      </c>
    </row>
    <row r="119" spans="1:2">
      <c r="A119" s="1">
        <f t="shared" si="3"/>
        <v>45037</v>
      </c>
      <c r="B119" s="6">
        <f>SUMIF('Raw Data'!$B$2:$B$1001,A119,'Raw Data'!$I$2:$I$1001)</f>
        <v>170</v>
      </c>
    </row>
    <row r="120" spans="1:2">
      <c r="A120" s="1">
        <f t="shared" si="3"/>
        <v>45038</v>
      </c>
      <c r="B120" s="6">
        <f>SUMIF('Raw Data'!$B$2:$B$1001,A120,'Raw Data'!$I$2:$I$1001)</f>
        <v>225</v>
      </c>
    </row>
    <row r="121" spans="1:2">
      <c r="A121" s="1">
        <f t="shared" si="3"/>
        <v>45039</v>
      </c>
      <c r="B121" s="6">
        <f>SUMIF('Raw Data'!$B$2:$B$1001,A121,'Raw Data'!$I$2:$I$1001)</f>
        <v>2905</v>
      </c>
    </row>
    <row r="122" spans="1:2">
      <c r="A122" s="1">
        <f t="shared" si="3"/>
        <v>45040</v>
      </c>
      <c r="B122" s="6">
        <f>SUMIF('Raw Data'!$B$2:$B$1001,A122,'Raw Data'!$I$2:$I$1001)</f>
        <v>170</v>
      </c>
    </row>
    <row r="123" spans="1:2">
      <c r="A123" s="1">
        <f t="shared" si="3"/>
        <v>45041</v>
      </c>
      <c r="B123" s="6">
        <f>SUMIF('Raw Data'!$B$2:$B$1001,A123,'Raw Data'!$I$2:$I$1001)</f>
        <v>160</v>
      </c>
    </row>
    <row r="124" spans="1:2">
      <c r="A124" s="1">
        <f t="shared" si="3"/>
        <v>45042</v>
      </c>
      <c r="B124" s="6">
        <f>SUMIF('Raw Data'!$B$2:$B$1001,A124,'Raw Data'!$I$2:$I$1001)</f>
        <v>270</v>
      </c>
    </row>
    <row r="125" spans="1:2">
      <c r="A125" s="1">
        <f t="shared" si="3"/>
        <v>45043</v>
      </c>
      <c r="B125" s="6">
        <f>SUMIF('Raw Data'!$B$2:$B$1001,A125,'Raw Data'!$I$2:$I$1001)</f>
        <v>1430</v>
      </c>
    </row>
    <row r="126" spans="1:2">
      <c r="A126" s="1">
        <f t="shared" si="3"/>
        <v>45044</v>
      </c>
      <c r="B126" s="6">
        <f>SUMIF('Raw Data'!$B$2:$B$1001,A126,'Raw Data'!$I$2:$I$1001)</f>
        <v>135</v>
      </c>
    </row>
    <row r="127" spans="1:2">
      <c r="A127" s="1">
        <f t="shared" si="3"/>
        <v>45045</v>
      </c>
      <c r="B127" s="6">
        <f>SUMIF('Raw Data'!$B$2:$B$1001,A127,'Raw Data'!$I$2:$I$1001)</f>
        <v>1960</v>
      </c>
    </row>
    <row r="128" spans="1:2">
      <c r="A128" s="1">
        <f t="shared" si="3"/>
        <v>45046</v>
      </c>
      <c r="B128" s="6">
        <f>SUMIF('Raw Data'!$B$2:$B$1001,A128,'Raw Data'!$I$2:$I$1001)</f>
        <v>155</v>
      </c>
    </row>
    <row r="129" spans="1:2">
      <c r="A129" s="1">
        <f t="shared" si="3"/>
        <v>45047</v>
      </c>
      <c r="B129" s="6">
        <f>SUMIF('Raw Data'!$B$2:$B$1001,A129,'Raw Data'!$I$2:$I$1001)</f>
        <v>625</v>
      </c>
    </row>
    <row r="130" spans="1:2">
      <c r="A130" s="1">
        <f t="shared" si="3"/>
        <v>45048</v>
      </c>
      <c r="B130" s="6">
        <f>SUMIF('Raw Data'!$B$2:$B$1001,A130,'Raw Data'!$I$2:$I$1001)</f>
        <v>165</v>
      </c>
    </row>
    <row r="131" spans="1:2">
      <c r="A131" s="1">
        <f t="shared" si="3"/>
        <v>45049</v>
      </c>
      <c r="B131" s="6">
        <f>SUMIF('Raw Data'!$B$2:$B$1001,A131,'Raw Data'!$I$2:$I$1001)</f>
        <v>300</v>
      </c>
    </row>
    <row r="132" spans="1:2">
      <c r="A132" s="1">
        <f t="shared" si="3"/>
        <v>45050</v>
      </c>
      <c r="B132" s="6">
        <f>SUMIF('Raw Data'!$B$2:$B$1001,A132,'Raw Data'!$I$2:$I$1001)</f>
        <v>1140</v>
      </c>
    </row>
    <row r="133" spans="1:2">
      <c r="A133" s="1">
        <f t="shared" si="3"/>
        <v>45051</v>
      </c>
      <c r="B133" s="6">
        <f>SUMIF('Raw Data'!$B$2:$B$1001,A133,'Raw Data'!$I$2:$I$1001)</f>
        <v>1520</v>
      </c>
    </row>
    <row r="134" spans="1:2">
      <c r="A134" s="1">
        <f t="shared" si="3"/>
        <v>45052</v>
      </c>
      <c r="B134" s="6">
        <f>SUMIF('Raw Data'!$B$2:$B$1001,A134,'Raw Data'!$I$2:$I$1001)</f>
        <v>990</v>
      </c>
    </row>
    <row r="135" spans="1:2">
      <c r="A135" s="1">
        <f t="shared" si="3"/>
        <v>45053</v>
      </c>
      <c r="B135" s="6">
        <f>SUMIF('Raw Data'!$B$2:$B$1001,A135,'Raw Data'!$I$2:$I$1001)</f>
        <v>995</v>
      </c>
    </row>
    <row r="136" spans="1:2">
      <c r="A136" s="1">
        <f t="shared" si="3"/>
        <v>45054</v>
      </c>
      <c r="B136" s="6">
        <f>SUMIF('Raw Data'!$B$2:$B$1001,A136,'Raw Data'!$I$2:$I$1001)</f>
        <v>4200</v>
      </c>
    </row>
    <row r="137" spans="1:2">
      <c r="A137" s="1">
        <f t="shared" si="3"/>
        <v>45055</v>
      </c>
      <c r="B137" s="6">
        <f>SUMIF('Raw Data'!$B$2:$B$1001,A137,'Raw Data'!$I$2:$I$1001)</f>
        <v>660</v>
      </c>
    </row>
    <row r="138" spans="1:2">
      <c r="A138" s="1">
        <f t="shared" si="3"/>
        <v>45056</v>
      </c>
      <c r="B138" s="6">
        <f>SUMIF('Raw Data'!$B$2:$B$1001,A138,'Raw Data'!$I$2:$I$1001)</f>
        <v>2200</v>
      </c>
    </row>
    <row r="139" spans="1:2">
      <c r="A139" s="1">
        <f t="shared" ref="A139:A202" si="4">A138+1</f>
        <v>45057</v>
      </c>
      <c r="B139" s="6">
        <f>SUMIF('Raw Data'!$B$2:$B$1001,A139,'Raw Data'!$I$2:$I$1001)</f>
        <v>30</v>
      </c>
    </row>
    <row r="140" spans="1:2">
      <c r="A140" s="1">
        <f t="shared" si="4"/>
        <v>45058</v>
      </c>
      <c r="B140" s="6">
        <f>SUMIF('Raw Data'!$B$2:$B$1001,A140,'Raw Data'!$I$2:$I$1001)</f>
        <v>100</v>
      </c>
    </row>
    <row r="141" spans="1:2">
      <c r="A141" s="1">
        <f t="shared" si="4"/>
        <v>45059</v>
      </c>
      <c r="B141" s="6">
        <f>SUMIF('Raw Data'!$B$2:$B$1001,A141,'Raw Data'!$I$2:$I$1001)</f>
        <v>800</v>
      </c>
    </row>
    <row r="142" spans="1:2">
      <c r="A142" s="1">
        <f t="shared" si="4"/>
        <v>45060</v>
      </c>
      <c r="B142" s="6">
        <f>SUMIF('Raw Data'!$B$2:$B$1001,A142,'Raw Data'!$I$2:$I$1001)</f>
        <v>1060</v>
      </c>
    </row>
    <row r="143" spans="1:2">
      <c r="A143" s="1">
        <f t="shared" si="4"/>
        <v>45061</v>
      </c>
      <c r="B143" s="6">
        <f>SUMIF('Raw Data'!$B$2:$B$1001,A143,'Raw Data'!$I$2:$I$1001)</f>
        <v>1680</v>
      </c>
    </row>
    <row r="144" spans="1:2">
      <c r="A144" s="1">
        <f t="shared" si="4"/>
        <v>45062</v>
      </c>
      <c r="B144" s="6">
        <f>SUMIF('Raw Data'!$B$2:$B$1001,A144,'Raw Data'!$I$2:$I$1001)</f>
        <v>7260</v>
      </c>
    </row>
    <row r="145" spans="1:2">
      <c r="A145" s="1">
        <f t="shared" si="4"/>
        <v>45063</v>
      </c>
      <c r="B145" s="6">
        <f>SUMIF('Raw Data'!$B$2:$B$1001,A145,'Raw Data'!$I$2:$I$1001)</f>
        <v>3050</v>
      </c>
    </row>
    <row r="146" spans="1:2">
      <c r="A146" s="1">
        <f t="shared" si="4"/>
        <v>45064</v>
      </c>
      <c r="B146" s="6">
        <f>SUMIF('Raw Data'!$B$2:$B$1001,A146,'Raw Data'!$I$2:$I$1001)</f>
        <v>550</v>
      </c>
    </row>
    <row r="147" spans="1:2">
      <c r="A147" s="1">
        <f t="shared" si="4"/>
        <v>45065</v>
      </c>
      <c r="B147" s="6">
        <f>SUMIF('Raw Data'!$B$2:$B$1001,A147,'Raw Data'!$I$2:$I$1001)</f>
        <v>1350</v>
      </c>
    </row>
    <row r="148" spans="1:2">
      <c r="A148" s="1">
        <f t="shared" si="4"/>
        <v>45066</v>
      </c>
      <c r="B148" s="6">
        <f>SUMIF('Raw Data'!$B$2:$B$1001,A148,'Raw Data'!$I$2:$I$1001)</f>
        <v>725</v>
      </c>
    </row>
    <row r="149" spans="1:2">
      <c r="A149" s="1">
        <f t="shared" si="4"/>
        <v>45067</v>
      </c>
      <c r="B149" s="6">
        <f>SUMIF('Raw Data'!$B$2:$B$1001,A149,'Raw Data'!$I$2:$I$1001)</f>
        <v>2900</v>
      </c>
    </row>
    <row r="150" spans="1:2">
      <c r="A150" s="1">
        <f t="shared" si="4"/>
        <v>45068</v>
      </c>
      <c r="B150" s="6">
        <f>SUMIF('Raw Data'!$B$2:$B$1001,A150,'Raw Data'!$I$2:$I$1001)</f>
        <v>1810</v>
      </c>
    </row>
    <row r="151" spans="1:2">
      <c r="A151" s="1">
        <f t="shared" si="4"/>
        <v>45069</v>
      </c>
      <c r="B151" s="6">
        <f>SUMIF('Raw Data'!$B$2:$B$1001,A151,'Raw Data'!$I$2:$I$1001)</f>
        <v>8455</v>
      </c>
    </row>
    <row r="152" spans="1:2">
      <c r="A152" s="1">
        <f t="shared" si="4"/>
        <v>45070</v>
      </c>
      <c r="B152" s="6">
        <f>SUMIF('Raw Data'!$B$2:$B$1001,A152,'Raw Data'!$I$2:$I$1001)</f>
        <v>50</v>
      </c>
    </row>
    <row r="153" spans="1:2">
      <c r="A153" s="1">
        <f t="shared" si="4"/>
        <v>45071</v>
      </c>
      <c r="B153" s="6">
        <f>SUMIF('Raw Data'!$B$2:$B$1001,A153,'Raw Data'!$I$2:$I$1001)</f>
        <v>2600</v>
      </c>
    </row>
    <row r="154" spans="1:2">
      <c r="A154" s="1">
        <f t="shared" si="4"/>
        <v>45072</v>
      </c>
      <c r="B154" s="6">
        <f>SUMIF('Raw Data'!$B$2:$B$1001,A154,'Raw Data'!$I$2:$I$1001)</f>
        <v>2020</v>
      </c>
    </row>
    <row r="155" spans="1:2">
      <c r="A155" s="1">
        <f t="shared" si="4"/>
        <v>45073</v>
      </c>
      <c r="B155" s="6">
        <f>SUMIF('Raw Data'!$B$2:$B$1001,A155,'Raw Data'!$I$2:$I$1001)</f>
        <v>2200</v>
      </c>
    </row>
    <row r="156" spans="1:2">
      <c r="A156" s="1">
        <f t="shared" si="4"/>
        <v>45074</v>
      </c>
      <c r="B156" s="6">
        <f>SUMIF('Raw Data'!$B$2:$B$1001,A156,'Raw Data'!$I$2:$I$1001)</f>
        <v>75</v>
      </c>
    </row>
    <row r="157" spans="1:2">
      <c r="A157" s="1">
        <f t="shared" si="4"/>
        <v>45075</v>
      </c>
      <c r="B157" s="6">
        <f>SUMIF('Raw Data'!$B$2:$B$1001,A157,'Raw Data'!$I$2:$I$1001)</f>
        <v>1200</v>
      </c>
    </row>
    <row r="158" spans="1:2">
      <c r="A158" s="1">
        <f t="shared" si="4"/>
        <v>45076</v>
      </c>
      <c r="B158" s="6">
        <f>SUMIF('Raw Data'!$B$2:$B$1001,A158,'Raw Data'!$I$2:$I$1001)</f>
        <v>140</v>
      </c>
    </row>
    <row r="159" spans="1:2">
      <c r="A159" s="1">
        <f t="shared" si="4"/>
        <v>45077</v>
      </c>
      <c r="B159" s="6">
        <f>SUMIF('Raw Data'!$B$2:$B$1001,A159,'Raw Data'!$I$2:$I$1001)</f>
        <v>2300</v>
      </c>
    </row>
    <row r="160" spans="1:2">
      <c r="A160" s="1">
        <f t="shared" si="4"/>
        <v>45078</v>
      </c>
      <c r="B160" s="6">
        <f>SUMIF('Raw Data'!$B$2:$B$1001,A160,'Raw Data'!$I$2:$I$1001)</f>
        <v>160</v>
      </c>
    </row>
    <row r="161" spans="1:2">
      <c r="A161" s="1">
        <f t="shared" si="4"/>
        <v>45079</v>
      </c>
      <c r="B161" s="6">
        <f>SUMIF('Raw Data'!$B$2:$B$1001,A161,'Raw Data'!$I$2:$I$1001)</f>
        <v>150</v>
      </c>
    </row>
    <row r="162" spans="1:2">
      <c r="A162" s="1">
        <f t="shared" si="4"/>
        <v>45080</v>
      </c>
      <c r="B162" s="6">
        <f>SUMIF('Raw Data'!$B$2:$B$1001,A162,'Raw Data'!$I$2:$I$1001)</f>
        <v>1025</v>
      </c>
    </row>
    <row r="163" spans="1:2">
      <c r="A163" s="1">
        <f t="shared" si="4"/>
        <v>45081</v>
      </c>
      <c r="B163" s="6">
        <f>SUMIF('Raw Data'!$B$2:$B$1001,A163,'Raw Data'!$I$2:$I$1001)</f>
        <v>1030</v>
      </c>
    </row>
    <row r="164" spans="1:2">
      <c r="A164" s="1">
        <f t="shared" si="4"/>
        <v>45082</v>
      </c>
      <c r="B164" s="6">
        <f>SUMIF('Raw Data'!$B$2:$B$1001,A164,'Raw Data'!$I$2:$I$1001)</f>
        <v>100</v>
      </c>
    </row>
    <row r="165" spans="1:2">
      <c r="A165" s="1">
        <f t="shared" si="4"/>
        <v>45083</v>
      </c>
      <c r="B165" s="6">
        <f>SUMIF('Raw Data'!$B$2:$B$1001,A165,'Raw Data'!$I$2:$I$1001)</f>
        <v>1950</v>
      </c>
    </row>
    <row r="166" spans="1:2">
      <c r="A166" s="1">
        <f t="shared" si="4"/>
        <v>45084</v>
      </c>
      <c r="B166" s="6">
        <f>SUMIF('Raw Data'!$B$2:$B$1001,A166,'Raw Data'!$I$2:$I$1001)</f>
        <v>150</v>
      </c>
    </row>
    <row r="167" spans="1:2">
      <c r="A167" s="1">
        <f t="shared" si="4"/>
        <v>45085</v>
      </c>
      <c r="B167" s="6">
        <f>SUMIF('Raw Data'!$B$2:$B$1001,A167,'Raw Data'!$I$2:$I$1001)</f>
        <v>1700</v>
      </c>
    </row>
    <row r="168" spans="1:2">
      <c r="A168" s="1">
        <f t="shared" si="4"/>
        <v>45086</v>
      </c>
      <c r="B168" s="6">
        <f>SUMIF('Raw Data'!$B$2:$B$1001,A168,'Raw Data'!$I$2:$I$1001)</f>
        <v>1820</v>
      </c>
    </row>
    <row r="169" spans="1:2">
      <c r="A169" s="1">
        <f t="shared" si="4"/>
        <v>45087</v>
      </c>
      <c r="B169" s="6">
        <f>SUMIF('Raw Data'!$B$2:$B$1001,A169,'Raw Data'!$I$2:$I$1001)</f>
        <v>2750</v>
      </c>
    </row>
    <row r="170" spans="1:2">
      <c r="A170" s="1">
        <f t="shared" si="4"/>
        <v>45088</v>
      </c>
      <c r="B170" s="6">
        <f>SUMIF('Raw Data'!$B$2:$B$1001,A170,'Raw Data'!$I$2:$I$1001)</f>
        <v>3300</v>
      </c>
    </row>
    <row r="171" spans="1:2">
      <c r="A171" s="1">
        <f t="shared" si="4"/>
        <v>45089</v>
      </c>
      <c r="B171" s="6">
        <f>SUMIF('Raw Data'!$B$2:$B$1001,A171,'Raw Data'!$I$2:$I$1001)</f>
        <v>50</v>
      </c>
    </row>
    <row r="172" spans="1:2">
      <c r="A172" s="1">
        <f t="shared" si="4"/>
        <v>45090</v>
      </c>
      <c r="B172" s="6">
        <f>SUMIF('Raw Data'!$B$2:$B$1001,A172,'Raw Data'!$I$2:$I$1001)</f>
        <v>500</v>
      </c>
    </row>
    <row r="173" spans="1:2">
      <c r="A173" s="1">
        <f t="shared" si="4"/>
        <v>45091</v>
      </c>
      <c r="B173" s="6">
        <f>SUMIF('Raw Data'!$B$2:$B$1001,A173,'Raw Data'!$I$2:$I$1001)</f>
        <v>900</v>
      </c>
    </row>
    <row r="174" spans="1:2">
      <c r="A174" s="1">
        <f t="shared" si="4"/>
        <v>45092</v>
      </c>
      <c r="B174" s="6">
        <f>SUMIF('Raw Data'!$B$2:$B$1001,A174,'Raw Data'!$I$2:$I$1001)</f>
        <v>220</v>
      </c>
    </row>
    <row r="175" spans="1:2">
      <c r="A175" s="1">
        <f t="shared" si="4"/>
        <v>45093</v>
      </c>
      <c r="B175" s="6">
        <f>SUMIF('Raw Data'!$B$2:$B$1001,A175,'Raw Data'!$I$2:$I$1001)</f>
        <v>230</v>
      </c>
    </row>
    <row r="176" spans="1:2">
      <c r="A176" s="1">
        <f t="shared" si="4"/>
        <v>45094</v>
      </c>
      <c r="B176" s="6">
        <f>SUMIF('Raw Data'!$B$2:$B$1001,A176,'Raw Data'!$I$2:$I$1001)</f>
        <v>1450</v>
      </c>
    </row>
    <row r="177" spans="1:2">
      <c r="A177" s="1">
        <f t="shared" si="4"/>
        <v>45095</v>
      </c>
      <c r="B177" s="6">
        <f>SUMIF('Raw Data'!$B$2:$B$1001,A177,'Raw Data'!$I$2:$I$1001)</f>
        <v>900</v>
      </c>
    </row>
    <row r="178" spans="1:2">
      <c r="A178" s="1">
        <f t="shared" si="4"/>
        <v>45096</v>
      </c>
      <c r="B178" s="6">
        <f>SUMIF('Raw Data'!$B$2:$B$1001,A178,'Raw Data'!$I$2:$I$1001)</f>
        <v>2945</v>
      </c>
    </row>
    <row r="179" spans="1:2">
      <c r="A179" s="1">
        <f t="shared" si="4"/>
        <v>45097</v>
      </c>
      <c r="B179" s="6">
        <f>SUMIF('Raw Data'!$B$2:$B$1001,A179,'Raw Data'!$I$2:$I$1001)</f>
        <v>190</v>
      </c>
    </row>
    <row r="180" spans="1:2">
      <c r="A180" s="1">
        <f t="shared" si="4"/>
        <v>45098</v>
      </c>
      <c r="B180" s="6">
        <f>SUMIF('Raw Data'!$B$2:$B$1001,A180,'Raw Data'!$I$2:$I$1001)</f>
        <v>175</v>
      </c>
    </row>
    <row r="181" spans="1:2">
      <c r="A181" s="1">
        <f t="shared" si="4"/>
        <v>45099</v>
      </c>
      <c r="B181" s="6">
        <f>SUMIF('Raw Data'!$B$2:$B$1001,A181,'Raw Data'!$I$2:$I$1001)</f>
        <v>1220</v>
      </c>
    </row>
    <row r="182" spans="1:2">
      <c r="A182" s="1">
        <f t="shared" si="4"/>
        <v>45100</v>
      </c>
      <c r="B182" s="6">
        <f>SUMIF('Raw Data'!$B$2:$B$1001,A182,'Raw Data'!$I$2:$I$1001)</f>
        <v>170</v>
      </c>
    </row>
    <row r="183" spans="1:2">
      <c r="A183" s="1">
        <f t="shared" si="4"/>
        <v>45101</v>
      </c>
      <c r="B183" s="6">
        <f>SUMIF('Raw Data'!$B$2:$B$1001,A183,'Raw Data'!$I$2:$I$1001)</f>
        <v>6220</v>
      </c>
    </row>
    <row r="184" spans="1:2">
      <c r="A184" s="1">
        <f t="shared" si="4"/>
        <v>45102</v>
      </c>
      <c r="B184" s="6">
        <f>SUMIF('Raw Data'!$B$2:$B$1001,A184,'Raw Data'!$I$2:$I$1001)</f>
        <v>900</v>
      </c>
    </row>
    <row r="185" spans="1:2">
      <c r="A185" s="1">
        <f t="shared" si="4"/>
        <v>45103</v>
      </c>
      <c r="B185" s="6">
        <f>SUMIF('Raw Data'!$B$2:$B$1001,A185,'Raw Data'!$I$2:$I$1001)</f>
        <v>2130</v>
      </c>
    </row>
    <row r="186" spans="1:2">
      <c r="A186" s="1">
        <f t="shared" si="4"/>
        <v>45104</v>
      </c>
      <c r="B186" s="6">
        <f>SUMIF('Raw Data'!$B$2:$B$1001,A186,'Raw Data'!$I$2:$I$1001)</f>
        <v>900</v>
      </c>
    </row>
    <row r="187" spans="1:2">
      <c r="A187" s="1">
        <f t="shared" si="4"/>
        <v>45105</v>
      </c>
      <c r="B187" s="6">
        <f>SUMIF('Raw Data'!$B$2:$B$1001,A187,'Raw Data'!$I$2:$I$1001)</f>
        <v>300</v>
      </c>
    </row>
    <row r="188" spans="1:2">
      <c r="A188" s="1">
        <f t="shared" si="4"/>
        <v>45106</v>
      </c>
      <c r="B188" s="6">
        <f>SUMIF('Raw Data'!$B$2:$B$1001,A188,'Raw Data'!$I$2:$I$1001)</f>
        <v>2150</v>
      </c>
    </row>
    <row r="189" spans="1:2">
      <c r="A189" s="1">
        <f t="shared" si="4"/>
        <v>45107</v>
      </c>
      <c r="B189" s="6">
        <f>SUMIF('Raw Data'!$B$2:$B$1001,A189,'Raw Data'!$I$2:$I$1001)</f>
        <v>1030</v>
      </c>
    </row>
    <row r="190" spans="1:2">
      <c r="A190" s="1">
        <f t="shared" si="4"/>
        <v>45108</v>
      </c>
      <c r="B190" s="6">
        <f>SUMIF('Raw Data'!$B$2:$B$1001,A190,'Raw Data'!$I$2:$I$1001)</f>
        <v>1750</v>
      </c>
    </row>
    <row r="191" spans="1:2">
      <c r="A191" s="1">
        <f t="shared" si="4"/>
        <v>45109</v>
      </c>
      <c r="B191" s="6">
        <f>SUMIF('Raw Data'!$B$2:$B$1001,A191,'Raw Data'!$I$2:$I$1001)</f>
        <v>0</v>
      </c>
    </row>
    <row r="192" spans="1:2">
      <c r="A192" s="1">
        <f t="shared" si="4"/>
        <v>45110</v>
      </c>
      <c r="B192" s="6">
        <f>SUMIF('Raw Data'!$B$2:$B$1001,A192,'Raw Data'!$I$2:$I$1001)</f>
        <v>230</v>
      </c>
    </row>
    <row r="193" spans="1:2">
      <c r="A193" s="1">
        <f t="shared" si="4"/>
        <v>45111</v>
      </c>
      <c r="B193" s="6">
        <f>SUMIF('Raw Data'!$B$2:$B$1001,A193,'Raw Data'!$I$2:$I$1001)</f>
        <v>500</v>
      </c>
    </row>
    <row r="194" spans="1:2">
      <c r="A194" s="1">
        <f t="shared" si="4"/>
        <v>45112</v>
      </c>
      <c r="B194" s="6">
        <f>SUMIF('Raw Data'!$B$2:$B$1001,A194,'Raw Data'!$I$2:$I$1001)</f>
        <v>780</v>
      </c>
    </row>
    <row r="195" spans="1:2">
      <c r="A195" s="1">
        <f t="shared" si="4"/>
        <v>45113</v>
      </c>
      <c r="B195" s="6">
        <f>SUMIF('Raw Data'!$B$2:$B$1001,A195,'Raw Data'!$I$2:$I$1001)</f>
        <v>2260</v>
      </c>
    </row>
    <row r="196" spans="1:2">
      <c r="A196" s="1">
        <f t="shared" si="4"/>
        <v>45114</v>
      </c>
      <c r="B196" s="6">
        <f>SUMIF('Raw Data'!$B$2:$B$1001,A196,'Raw Data'!$I$2:$I$1001)</f>
        <v>0</v>
      </c>
    </row>
    <row r="197" spans="1:2">
      <c r="A197" s="1">
        <f t="shared" si="4"/>
        <v>45115</v>
      </c>
      <c r="B197" s="6">
        <f>SUMIF('Raw Data'!$B$2:$B$1001,A197,'Raw Data'!$I$2:$I$1001)</f>
        <v>220</v>
      </c>
    </row>
    <row r="198" spans="1:2">
      <c r="A198" s="1">
        <f t="shared" si="4"/>
        <v>45116</v>
      </c>
      <c r="B198" s="6">
        <f>SUMIF('Raw Data'!$B$2:$B$1001,A198,'Raw Data'!$I$2:$I$1001)</f>
        <v>325</v>
      </c>
    </row>
    <row r="199" spans="1:2">
      <c r="A199" s="1">
        <f t="shared" si="4"/>
        <v>45117</v>
      </c>
      <c r="B199" s="6">
        <f>SUMIF('Raw Data'!$B$2:$B$1001,A199,'Raw Data'!$I$2:$I$1001)</f>
        <v>0</v>
      </c>
    </row>
    <row r="200" spans="1:2">
      <c r="A200" s="1">
        <f t="shared" si="4"/>
        <v>45118</v>
      </c>
      <c r="B200" s="6">
        <f>SUMIF('Raw Data'!$B$2:$B$1001,A200,'Raw Data'!$I$2:$I$1001)</f>
        <v>200</v>
      </c>
    </row>
    <row r="201" spans="1:2">
      <c r="A201" s="1">
        <f t="shared" si="4"/>
        <v>45119</v>
      </c>
      <c r="B201" s="6">
        <f>SUMIF('Raw Data'!$B$2:$B$1001,A201,'Raw Data'!$I$2:$I$1001)</f>
        <v>30</v>
      </c>
    </row>
    <row r="202" spans="1:2">
      <c r="A202" s="1">
        <f t="shared" si="4"/>
        <v>45120</v>
      </c>
      <c r="B202" s="6">
        <f>SUMIF('Raw Data'!$B$2:$B$1001,A202,'Raw Data'!$I$2:$I$1001)</f>
        <v>100</v>
      </c>
    </row>
    <row r="203" spans="1:2">
      <c r="A203" s="1">
        <f t="shared" ref="A203:A266" si="5">A202+1</f>
        <v>45121</v>
      </c>
      <c r="B203" s="6">
        <f>SUMIF('Raw Data'!$B$2:$B$1001,A203,'Raw Data'!$I$2:$I$1001)</f>
        <v>5125</v>
      </c>
    </row>
    <row r="204" spans="1:2">
      <c r="A204" s="1">
        <f t="shared" si="5"/>
        <v>45122</v>
      </c>
      <c r="B204" s="6">
        <f>SUMIF('Raw Data'!$B$2:$B$1001,A204,'Raw Data'!$I$2:$I$1001)</f>
        <v>3000</v>
      </c>
    </row>
    <row r="205" spans="1:2">
      <c r="A205" s="1">
        <f t="shared" si="5"/>
        <v>45123</v>
      </c>
      <c r="B205" s="6">
        <f>SUMIF('Raw Data'!$B$2:$B$1001,A205,'Raw Data'!$I$2:$I$1001)</f>
        <v>190</v>
      </c>
    </row>
    <row r="206" spans="1:2">
      <c r="A206" s="1">
        <f t="shared" si="5"/>
        <v>45124</v>
      </c>
      <c r="B206" s="6">
        <f>SUMIF('Raw Data'!$B$2:$B$1001,A206,'Raw Data'!$I$2:$I$1001)</f>
        <v>950</v>
      </c>
    </row>
    <row r="207" spans="1:2">
      <c r="A207" s="1">
        <f t="shared" si="5"/>
        <v>45125</v>
      </c>
      <c r="B207" s="6">
        <f>SUMIF('Raw Data'!$B$2:$B$1001,A207,'Raw Data'!$I$2:$I$1001)</f>
        <v>0</v>
      </c>
    </row>
    <row r="208" spans="1:2">
      <c r="A208" s="1">
        <f t="shared" si="5"/>
        <v>45126</v>
      </c>
      <c r="B208" s="6">
        <f>SUMIF('Raw Data'!$B$2:$B$1001,A208,'Raw Data'!$I$2:$I$1001)</f>
        <v>2060</v>
      </c>
    </row>
    <row r="209" spans="1:2">
      <c r="A209" s="1">
        <f t="shared" si="5"/>
        <v>45127</v>
      </c>
      <c r="B209" s="6">
        <f>SUMIF('Raw Data'!$B$2:$B$1001,A209,'Raw Data'!$I$2:$I$1001)</f>
        <v>0</v>
      </c>
    </row>
    <row r="210" spans="1:2">
      <c r="A210" s="1">
        <f t="shared" si="5"/>
        <v>45128</v>
      </c>
      <c r="B210" s="6">
        <f>SUMIF('Raw Data'!$B$2:$B$1001,A210,'Raw Data'!$I$2:$I$1001)</f>
        <v>1000</v>
      </c>
    </row>
    <row r="211" spans="1:2">
      <c r="A211" s="1">
        <f t="shared" si="5"/>
        <v>45129</v>
      </c>
      <c r="B211" s="6">
        <f>SUMIF('Raw Data'!$B$2:$B$1001,A211,'Raw Data'!$I$2:$I$1001)</f>
        <v>150</v>
      </c>
    </row>
    <row r="212" spans="1:2">
      <c r="A212" s="1">
        <f t="shared" si="5"/>
        <v>45130</v>
      </c>
      <c r="B212" s="6">
        <f>SUMIF('Raw Data'!$B$2:$B$1001,A212,'Raw Data'!$I$2:$I$1001)</f>
        <v>2000</v>
      </c>
    </row>
    <row r="213" spans="1:2">
      <c r="A213" s="1">
        <f t="shared" si="5"/>
        <v>45131</v>
      </c>
      <c r="B213" s="6">
        <f>SUMIF('Raw Data'!$B$2:$B$1001,A213,'Raw Data'!$I$2:$I$1001)</f>
        <v>4610</v>
      </c>
    </row>
    <row r="214" spans="1:2">
      <c r="A214" s="1">
        <f t="shared" si="5"/>
        <v>45132</v>
      </c>
      <c r="B214" s="6">
        <f>SUMIF('Raw Data'!$B$2:$B$1001,A214,'Raw Data'!$I$2:$I$1001)</f>
        <v>2000</v>
      </c>
    </row>
    <row r="215" spans="1:2">
      <c r="A215" s="1">
        <f t="shared" si="5"/>
        <v>45133</v>
      </c>
      <c r="B215" s="6">
        <f>SUMIF('Raw Data'!$B$2:$B$1001,A215,'Raw Data'!$I$2:$I$1001)</f>
        <v>1000</v>
      </c>
    </row>
    <row r="216" spans="1:2">
      <c r="A216" s="1">
        <f t="shared" si="5"/>
        <v>45134</v>
      </c>
      <c r="B216" s="6">
        <f>SUMIF('Raw Data'!$B$2:$B$1001,A216,'Raw Data'!$I$2:$I$1001)</f>
        <v>1190</v>
      </c>
    </row>
    <row r="217" spans="1:2">
      <c r="A217" s="1">
        <f t="shared" si="5"/>
        <v>45135</v>
      </c>
      <c r="B217" s="6">
        <f>SUMIF('Raw Data'!$B$2:$B$1001,A217,'Raw Data'!$I$2:$I$1001)</f>
        <v>3450</v>
      </c>
    </row>
    <row r="218" spans="1:2">
      <c r="A218" s="1">
        <f t="shared" si="5"/>
        <v>45136</v>
      </c>
      <c r="B218" s="6">
        <f>SUMIF('Raw Data'!$B$2:$B$1001,A218,'Raw Data'!$I$2:$I$1001)</f>
        <v>575</v>
      </c>
    </row>
    <row r="219" spans="1:2">
      <c r="A219" s="1">
        <f t="shared" si="5"/>
        <v>45137</v>
      </c>
      <c r="B219" s="6">
        <f>SUMIF('Raw Data'!$B$2:$B$1001,A219,'Raw Data'!$I$2:$I$1001)</f>
        <v>270</v>
      </c>
    </row>
    <row r="220" spans="1:2">
      <c r="A220" s="1">
        <f t="shared" si="5"/>
        <v>45138</v>
      </c>
      <c r="B220" s="6">
        <f>SUMIF('Raw Data'!$B$2:$B$1001,A220,'Raw Data'!$I$2:$I$1001)</f>
        <v>1500</v>
      </c>
    </row>
    <row r="221" spans="1:2">
      <c r="A221" s="1">
        <f t="shared" si="5"/>
        <v>45139</v>
      </c>
      <c r="B221" s="6">
        <f>SUMIF('Raw Data'!$B$2:$B$1001,A221,'Raw Data'!$I$2:$I$1001)</f>
        <v>720</v>
      </c>
    </row>
    <row r="222" spans="1:2">
      <c r="A222" s="1">
        <f t="shared" si="5"/>
        <v>45140</v>
      </c>
      <c r="B222" s="6">
        <f>SUMIF('Raw Data'!$B$2:$B$1001,A222,'Raw Data'!$I$2:$I$1001)</f>
        <v>50</v>
      </c>
    </row>
    <row r="223" spans="1:2">
      <c r="A223" s="1">
        <f t="shared" si="5"/>
        <v>45141</v>
      </c>
      <c r="B223" s="6">
        <f>SUMIF('Raw Data'!$B$2:$B$1001,A223,'Raw Data'!$I$2:$I$1001)</f>
        <v>375</v>
      </c>
    </row>
    <row r="224" spans="1:2">
      <c r="A224" s="1">
        <f t="shared" si="5"/>
        <v>45142</v>
      </c>
      <c r="B224" s="6">
        <f>SUMIF('Raw Data'!$B$2:$B$1001,A224,'Raw Data'!$I$2:$I$1001)</f>
        <v>260</v>
      </c>
    </row>
    <row r="225" spans="1:2">
      <c r="A225" s="1">
        <f t="shared" si="5"/>
        <v>45143</v>
      </c>
      <c r="B225" s="6">
        <f>SUMIF('Raw Data'!$B$2:$B$1001,A225,'Raw Data'!$I$2:$I$1001)</f>
        <v>5205</v>
      </c>
    </row>
    <row r="226" spans="1:2">
      <c r="A226" s="1">
        <f t="shared" si="5"/>
        <v>45144</v>
      </c>
      <c r="B226" s="6">
        <f>SUMIF('Raw Data'!$B$2:$B$1001,A226,'Raw Data'!$I$2:$I$1001)</f>
        <v>2500</v>
      </c>
    </row>
    <row r="227" spans="1:2">
      <c r="A227" s="1">
        <f t="shared" si="5"/>
        <v>45145</v>
      </c>
      <c r="B227" s="6">
        <f>SUMIF('Raw Data'!$B$2:$B$1001,A227,'Raw Data'!$I$2:$I$1001)</f>
        <v>1020</v>
      </c>
    </row>
    <row r="228" spans="1:2">
      <c r="A228" s="1">
        <f t="shared" si="5"/>
        <v>45146</v>
      </c>
      <c r="B228" s="6">
        <f>SUMIF('Raw Data'!$B$2:$B$1001,A228,'Raw Data'!$I$2:$I$1001)</f>
        <v>1385</v>
      </c>
    </row>
    <row r="229" spans="1:2">
      <c r="A229" s="1">
        <f t="shared" si="5"/>
        <v>45147</v>
      </c>
      <c r="B229" s="6">
        <f>SUMIF('Raw Data'!$B$2:$B$1001,A229,'Raw Data'!$I$2:$I$1001)</f>
        <v>1010</v>
      </c>
    </row>
    <row r="230" spans="1:2">
      <c r="A230" s="1">
        <f t="shared" si="5"/>
        <v>45148</v>
      </c>
      <c r="B230" s="6">
        <f>SUMIF('Raw Data'!$B$2:$B$1001,A230,'Raw Data'!$I$2:$I$1001)</f>
        <v>200</v>
      </c>
    </row>
    <row r="231" spans="1:2">
      <c r="A231" s="1">
        <f t="shared" si="5"/>
        <v>45149</v>
      </c>
      <c r="B231" s="6">
        <f>SUMIF('Raw Data'!$B$2:$B$1001,A231,'Raw Data'!$I$2:$I$1001)</f>
        <v>900</v>
      </c>
    </row>
    <row r="232" spans="1:2">
      <c r="A232" s="1">
        <f t="shared" si="5"/>
        <v>45150</v>
      </c>
      <c r="B232" s="6">
        <f>SUMIF('Raw Data'!$B$2:$B$1001,A232,'Raw Data'!$I$2:$I$1001)</f>
        <v>1370</v>
      </c>
    </row>
    <row r="233" spans="1:2">
      <c r="A233" s="1">
        <f t="shared" si="5"/>
        <v>45151</v>
      </c>
      <c r="B233" s="6">
        <f>SUMIF('Raw Data'!$B$2:$B$1001,A233,'Raw Data'!$I$2:$I$1001)</f>
        <v>700</v>
      </c>
    </row>
    <row r="234" spans="1:2">
      <c r="A234" s="1">
        <f t="shared" si="5"/>
        <v>45152</v>
      </c>
      <c r="B234" s="6">
        <f>SUMIF('Raw Data'!$B$2:$B$1001,A234,'Raw Data'!$I$2:$I$1001)</f>
        <v>1230</v>
      </c>
    </row>
    <row r="235" spans="1:2">
      <c r="A235" s="1">
        <f t="shared" si="5"/>
        <v>45153</v>
      </c>
      <c r="B235" s="6">
        <f>SUMIF('Raw Data'!$B$2:$B$1001,A235,'Raw Data'!$I$2:$I$1001)</f>
        <v>970</v>
      </c>
    </row>
    <row r="236" spans="1:2">
      <c r="A236" s="1">
        <f t="shared" si="5"/>
        <v>45154</v>
      </c>
      <c r="B236" s="6">
        <f>SUMIF('Raw Data'!$B$2:$B$1001,A236,'Raw Data'!$I$2:$I$1001)</f>
        <v>0</v>
      </c>
    </row>
    <row r="237" spans="1:2">
      <c r="A237" s="1">
        <f t="shared" si="5"/>
        <v>45155</v>
      </c>
      <c r="B237" s="6">
        <f>SUMIF('Raw Data'!$B$2:$B$1001,A237,'Raw Data'!$I$2:$I$1001)</f>
        <v>900</v>
      </c>
    </row>
    <row r="238" spans="1:2">
      <c r="A238" s="1">
        <f t="shared" si="5"/>
        <v>45156</v>
      </c>
      <c r="B238" s="6">
        <f>SUMIF('Raw Data'!$B$2:$B$1001,A238,'Raw Data'!$I$2:$I$1001)</f>
        <v>1630</v>
      </c>
    </row>
    <row r="239" spans="1:2">
      <c r="A239" s="1">
        <f t="shared" si="5"/>
        <v>45157</v>
      </c>
      <c r="B239" s="6">
        <f>SUMIF('Raw Data'!$B$2:$B$1001,A239,'Raw Data'!$I$2:$I$1001)</f>
        <v>2160</v>
      </c>
    </row>
    <row r="240" spans="1:2">
      <c r="A240" s="1">
        <f t="shared" si="5"/>
        <v>45158</v>
      </c>
      <c r="B240" s="6">
        <f>SUMIF('Raw Data'!$B$2:$B$1001,A240,'Raw Data'!$I$2:$I$1001)</f>
        <v>90</v>
      </c>
    </row>
    <row r="241" spans="1:2">
      <c r="A241" s="1">
        <f t="shared" si="5"/>
        <v>45159</v>
      </c>
      <c r="B241" s="6">
        <f>SUMIF('Raw Data'!$B$2:$B$1001,A241,'Raw Data'!$I$2:$I$1001)</f>
        <v>1560</v>
      </c>
    </row>
    <row r="242" spans="1:2">
      <c r="A242" s="1">
        <f t="shared" si="5"/>
        <v>45160</v>
      </c>
      <c r="B242" s="6">
        <f>SUMIF('Raw Data'!$B$2:$B$1001,A242,'Raw Data'!$I$2:$I$1001)</f>
        <v>1275</v>
      </c>
    </row>
    <row r="243" spans="1:2">
      <c r="A243" s="1">
        <f t="shared" si="5"/>
        <v>45161</v>
      </c>
      <c r="B243" s="6">
        <f>SUMIF('Raw Data'!$B$2:$B$1001,A243,'Raw Data'!$I$2:$I$1001)</f>
        <v>1730</v>
      </c>
    </row>
    <row r="244" spans="1:2">
      <c r="A244" s="1">
        <f t="shared" si="5"/>
        <v>45162</v>
      </c>
      <c r="B244" s="6">
        <f>SUMIF('Raw Data'!$B$2:$B$1001,A244,'Raw Data'!$I$2:$I$1001)</f>
        <v>1305</v>
      </c>
    </row>
    <row r="245" spans="1:2">
      <c r="A245" s="1">
        <f t="shared" si="5"/>
        <v>45163</v>
      </c>
      <c r="B245" s="6">
        <f>SUMIF('Raw Data'!$B$2:$B$1001,A245,'Raw Data'!$I$2:$I$1001)</f>
        <v>395</v>
      </c>
    </row>
    <row r="246" spans="1:2">
      <c r="A246" s="1">
        <f t="shared" si="5"/>
        <v>45164</v>
      </c>
      <c r="B246" s="6">
        <f>SUMIF('Raw Data'!$B$2:$B$1001,A246,'Raw Data'!$I$2:$I$1001)</f>
        <v>955</v>
      </c>
    </row>
    <row r="247" spans="1:2">
      <c r="A247" s="1">
        <f t="shared" si="5"/>
        <v>45165</v>
      </c>
      <c r="B247" s="6">
        <f>SUMIF('Raw Data'!$B$2:$B$1001,A247,'Raw Data'!$I$2:$I$1001)</f>
        <v>1725</v>
      </c>
    </row>
    <row r="248" spans="1:2">
      <c r="A248" s="1">
        <f t="shared" si="5"/>
        <v>45166</v>
      </c>
      <c r="B248" s="6">
        <f>SUMIF('Raw Data'!$B$2:$B$1001,A248,'Raw Data'!$I$2:$I$1001)</f>
        <v>350</v>
      </c>
    </row>
    <row r="249" spans="1:2">
      <c r="A249" s="1">
        <f t="shared" si="5"/>
        <v>45167</v>
      </c>
      <c r="B249" s="6">
        <f>SUMIF('Raw Data'!$B$2:$B$1001,A249,'Raw Data'!$I$2:$I$1001)</f>
        <v>2630</v>
      </c>
    </row>
    <row r="250" spans="1:2">
      <c r="A250" s="1">
        <f t="shared" si="5"/>
        <v>45168</v>
      </c>
      <c r="B250" s="6">
        <f>SUMIF('Raw Data'!$B$2:$B$1001,A250,'Raw Data'!$I$2:$I$1001)</f>
        <v>0</v>
      </c>
    </row>
    <row r="251" spans="1:2">
      <c r="A251" s="1">
        <f t="shared" si="5"/>
        <v>45169</v>
      </c>
      <c r="B251" s="6">
        <f>SUMIF('Raw Data'!$B$2:$B$1001,A251,'Raw Data'!$I$2:$I$1001)</f>
        <v>2360</v>
      </c>
    </row>
    <row r="252" spans="1:2">
      <c r="A252" s="1">
        <f t="shared" si="5"/>
        <v>45170</v>
      </c>
      <c r="B252" s="6">
        <f>SUMIF('Raw Data'!$B$2:$B$1001,A252,'Raw Data'!$I$2:$I$1001)</f>
        <v>1375</v>
      </c>
    </row>
    <row r="253" spans="1:2">
      <c r="A253" s="1">
        <f t="shared" si="5"/>
        <v>45171</v>
      </c>
      <c r="B253" s="6">
        <f>SUMIF('Raw Data'!$B$2:$B$1001,A253,'Raw Data'!$I$2:$I$1001)</f>
        <v>1370</v>
      </c>
    </row>
    <row r="254" spans="1:2">
      <c r="A254" s="1">
        <f t="shared" si="5"/>
        <v>45172</v>
      </c>
      <c r="B254" s="6">
        <f>SUMIF('Raw Data'!$B$2:$B$1001,A254,'Raw Data'!$I$2:$I$1001)</f>
        <v>300</v>
      </c>
    </row>
    <row r="255" spans="1:2">
      <c r="A255" s="1">
        <f t="shared" si="5"/>
        <v>45173</v>
      </c>
      <c r="B255" s="6">
        <f>SUMIF('Raw Data'!$B$2:$B$1001,A255,'Raw Data'!$I$2:$I$1001)</f>
        <v>1000</v>
      </c>
    </row>
    <row r="256" spans="1:2">
      <c r="A256" s="1">
        <f t="shared" si="5"/>
        <v>45174</v>
      </c>
      <c r="B256" s="6">
        <f>SUMIF('Raw Data'!$B$2:$B$1001,A256,'Raw Data'!$I$2:$I$1001)</f>
        <v>530</v>
      </c>
    </row>
    <row r="257" spans="1:2">
      <c r="A257" s="1">
        <f t="shared" si="5"/>
        <v>45175</v>
      </c>
      <c r="B257" s="6">
        <f>SUMIF('Raw Data'!$B$2:$B$1001,A257,'Raw Data'!$I$2:$I$1001)</f>
        <v>1765</v>
      </c>
    </row>
    <row r="258" spans="1:2">
      <c r="A258" s="1">
        <f t="shared" si="5"/>
        <v>45176</v>
      </c>
      <c r="B258" s="6">
        <f>SUMIF('Raw Data'!$B$2:$B$1001,A258,'Raw Data'!$I$2:$I$1001)</f>
        <v>420</v>
      </c>
    </row>
    <row r="259" spans="1:2">
      <c r="A259" s="1">
        <f t="shared" si="5"/>
        <v>45177</v>
      </c>
      <c r="B259" s="6">
        <f>SUMIF('Raw Data'!$B$2:$B$1001,A259,'Raw Data'!$I$2:$I$1001)</f>
        <v>1125</v>
      </c>
    </row>
    <row r="260" spans="1:2">
      <c r="A260" s="1">
        <f t="shared" si="5"/>
        <v>45178</v>
      </c>
      <c r="B260" s="6">
        <f>SUMIF('Raw Data'!$B$2:$B$1001,A260,'Raw Data'!$I$2:$I$1001)</f>
        <v>200</v>
      </c>
    </row>
    <row r="261" spans="1:2">
      <c r="A261" s="1">
        <f t="shared" si="5"/>
        <v>45179</v>
      </c>
      <c r="B261" s="6">
        <f>SUMIF('Raw Data'!$B$2:$B$1001,A261,'Raw Data'!$I$2:$I$1001)</f>
        <v>200</v>
      </c>
    </row>
    <row r="262" spans="1:2">
      <c r="A262" s="1">
        <f t="shared" si="5"/>
        <v>45180</v>
      </c>
      <c r="B262" s="6">
        <f>SUMIF('Raw Data'!$B$2:$B$1001,A262,'Raw Data'!$I$2:$I$1001)</f>
        <v>2200</v>
      </c>
    </row>
    <row r="263" spans="1:2">
      <c r="A263" s="1">
        <f t="shared" si="5"/>
        <v>45181</v>
      </c>
      <c r="B263" s="6">
        <f>SUMIF('Raw Data'!$B$2:$B$1001,A263,'Raw Data'!$I$2:$I$1001)</f>
        <v>0</v>
      </c>
    </row>
    <row r="264" spans="1:2">
      <c r="A264" s="1">
        <f t="shared" si="5"/>
        <v>45182</v>
      </c>
      <c r="B264" s="6">
        <f>SUMIF('Raw Data'!$B$2:$B$1001,A264,'Raw Data'!$I$2:$I$1001)</f>
        <v>50</v>
      </c>
    </row>
    <row r="265" spans="1:2">
      <c r="A265" s="1">
        <f t="shared" si="5"/>
        <v>45183</v>
      </c>
      <c r="B265" s="6">
        <f>SUMIF('Raw Data'!$B$2:$B$1001,A265,'Raw Data'!$I$2:$I$1001)</f>
        <v>1200</v>
      </c>
    </row>
    <row r="266" spans="1:2">
      <c r="A266" s="1">
        <f t="shared" si="5"/>
        <v>45184</v>
      </c>
      <c r="B266" s="6">
        <f>SUMIF('Raw Data'!$B$2:$B$1001,A266,'Raw Data'!$I$2:$I$1001)</f>
        <v>75</v>
      </c>
    </row>
    <row r="267" spans="1:2">
      <c r="A267" s="1">
        <f t="shared" ref="A267:A330" si="6">A266+1</f>
        <v>45185</v>
      </c>
      <c r="B267" s="6">
        <f>SUMIF('Raw Data'!$B$2:$B$1001,A267,'Raw Data'!$I$2:$I$1001)</f>
        <v>2150</v>
      </c>
    </row>
    <row r="268" spans="1:2">
      <c r="A268" s="1">
        <f t="shared" si="6"/>
        <v>45186</v>
      </c>
      <c r="B268" s="6">
        <f>SUMIF('Raw Data'!$B$2:$B$1001,A268,'Raw Data'!$I$2:$I$1001)</f>
        <v>700</v>
      </c>
    </row>
    <row r="269" spans="1:2">
      <c r="A269" s="1">
        <f t="shared" si="6"/>
        <v>45187</v>
      </c>
      <c r="B269" s="6">
        <f>SUMIF('Raw Data'!$B$2:$B$1001,A269,'Raw Data'!$I$2:$I$1001)</f>
        <v>1000</v>
      </c>
    </row>
    <row r="270" spans="1:2">
      <c r="A270" s="1">
        <f t="shared" si="6"/>
        <v>45188</v>
      </c>
      <c r="B270" s="6">
        <f>SUMIF('Raw Data'!$B$2:$B$1001,A270,'Raw Data'!$I$2:$I$1001)</f>
        <v>160</v>
      </c>
    </row>
    <row r="271" spans="1:2">
      <c r="A271" s="1">
        <f t="shared" si="6"/>
        <v>45189</v>
      </c>
      <c r="B271" s="6">
        <f>SUMIF('Raw Data'!$B$2:$B$1001,A271,'Raw Data'!$I$2:$I$1001)</f>
        <v>0</v>
      </c>
    </row>
    <row r="272" spans="1:2">
      <c r="A272" s="1">
        <f t="shared" si="6"/>
        <v>45190</v>
      </c>
      <c r="B272" s="6">
        <f>SUMIF('Raw Data'!$B$2:$B$1001,A272,'Raw Data'!$I$2:$I$1001)</f>
        <v>105</v>
      </c>
    </row>
    <row r="273" spans="1:2">
      <c r="A273" s="1">
        <f t="shared" si="6"/>
        <v>45191</v>
      </c>
      <c r="B273" s="6">
        <f>SUMIF('Raw Data'!$B$2:$B$1001,A273,'Raw Data'!$I$2:$I$1001)</f>
        <v>140</v>
      </c>
    </row>
    <row r="274" spans="1:2">
      <c r="A274" s="1">
        <f t="shared" si="6"/>
        <v>45192</v>
      </c>
      <c r="B274" s="6">
        <f>SUMIF('Raw Data'!$B$2:$B$1001,A274,'Raw Data'!$I$2:$I$1001)</f>
        <v>100</v>
      </c>
    </row>
    <row r="275" spans="1:2">
      <c r="A275" s="1">
        <f t="shared" si="6"/>
        <v>45193</v>
      </c>
      <c r="B275" s="6">
        <f>SUMIF('Raw Data'!$B$2:$B$1001,A275,'Raw Data'!$I$2:$I$1001)</f>
        <v>390</v>
      </c>
    </row>
    <row r="276" spans="1:2">
      <c r="A276" s="1">
        <f t="shared" si="6"/>
        <v>45194</v>
      </c>
      <c r="B276" s="6">
        <f>SUMIF('Raw Data'!$B$2:$B$1001,A276,'Raw Data'!$I$2:$I$1001)</f>
        <v>1090</v>
      </c>
    </row>
    <row r="277" spans="1:2">
      <c r="A277" s="1">
        <f t="shared" si="6"/>
        <v>45195</v>
      </c>
      <c r="B277" s="6">
        <f>SUMIF('Raw Data'!$B$2:$B$1001,A277,'Raw Data'!$I$2:$I$1001)</f>
        <v>100</v>
      </c>
    </row>
    <row r="278" spans="1:2">
      <c r="A278" s="1">
        <f t="shared" si="6"/>
        <v>45196</v>
      </c>
      <c r="B278" s="6">
        <f>SUMIF('Raw Data'!$B$2:$B$1001,A278,'Raw Data'!$I$2:$I$1001)</f>
        <v>0</v>
      </c>
    </row>
    <row r="279" spans="1:2">
      <c r="A279" s="1">
        <f t="shared" si="6"/>
        <v>45197</v>
      </c>
      <c r="B279" s="6">
        <f>SUMIF('Raw Data'!$B$2:$B$1001,A279,'Raw Data'!$I$2:$I$1001)</f>
        <v>425</v>
      </c>
    </row>
    <row r="280" spans="1:2">
      <c r="A280" s="1">
        <f t="shared" si="6"/>
        <v>45198</v>
      </c>
      <c r="B280" s="6">
        <f>SUMIF('Raw Data'!$B$2:$B$1001,A280,'Raw Data'!$I$2:$I$1001)</f>
        <v>2550</v>
      </c>
    </row>
    <row r="281" spans="1:2">
      <c r="A281" s="1">
        <f t="shared" si="6"/>
        <v>45199</v>
      </c>
      <c r="B281" s="6">
        <f>SUMIF('Raw Data'!$B$2:$B$1001,A281,'Raw Data'!$I$2:$I$1001)</f>
        <v>2900</v>
      </c>
    </row>
    <row r="282" spans="1:2">
      <c r="A282" s="1">
        <f t="shared" si="6"/>
        <v>45200</v>
      </c>
      <c r="B282" s="6">
        <f>SUMIF('Raw Data'!$B$2:$B$1001,A282,'Raw Data'!$I$2:$I$1001)</f>
        <v>2800</v>
      </c>
    </row>
    <row r="283" spans="1:2">
      <c r="A283" s="1">
        <f t="shared" si="6"/>
        <v>45201</v>
      </c>
      <c r="B283" s="6">
        <f>SUMIF('Raw Data'!$B$2:$B$1001,A283,'Raw Data'!$I$2:$I$1001)</f>
        <v>1245</v>
      </c>
    </row>
    <row r="284" spans="1:2">
      <c r="A284" s="1">
        <f t="shared" si="6"/>
        <v>45202</v>
      </c>
      <c r="B284" s="6">
        <f>SUMIF('Raw Data'!$B$2:$B$1001,A284,'Raw Data'!$I$2:$I$1001)</f>
        <v>2170</v>
      </c>
    </row>
    <row r="285" spans="1:2">
      <c r="A285" s="1">
        <f t="shared" si="6"/>
        <v>45203</v>
      </c>
      <c r="B285" s="6">
        <f>SUMIF('Raw Data'!$B$2:$B$1001,A285,'Raw Data'!$I$2:$I$1001)</f>
        <v>3010</v>
      </c>
    </row>
    <row r="286" spans="1:2">
      <c r="A286" s="1">
        <f t="shared" si="6"/>
        <v>45204</v>
      </c>
      <c r="B286" s="6">
        <f>SUMIF('Raw Data'!$B$2:$B$1001,A286,'Raw Data'!$I$2:$I$1001)</f>
        <v>530</v>
      </c>
    </row>
    <row r="287" spans="1:2">
      <c r="A287" s="1">
        <f t="shared" si="6"/>
        <v>45205</v>
      </c>
      <c r="B287" s="6">
        <f>SUMIF('Raw Data'!$B$2:$B$1001,A287,'Raw Data'!$I$2:$I$1001)</f>
        <v>1500</v>
      </c>
    </row>
    <row r="288" spans="1:2">
      <c r="A288" s="1">
        <f t="shared" si="6"/>
        <v>45206</v>
      </c>
      <c r="B288" s="6">
        <f>SUMIF('Raw Data'!$B$2:$B$1001,A288,'Raw Data'!$I$2:$I$1001)</f>
        <v>2500</v>
      </c>
    </row>
    <row r="289" spans="1:2">
      <c r="A289" s="1">
        <f t="shared" si="6"/>
        <v>45207</v>
      </c>
      <c r="B289" s="6">
        <f>SUMIF('Raw Data'!$B$2:$B$1001,A289,'Raw Data'!$I$2:$I$1001)</f>
        <v>2025</v>
      </c>
    </row>
    <row r="290" spans="1:2">
      <c r="A290" s="1">
        <f t="shared" si="6"/>
        <v>45208</v>
      </c>
      <c r="B290" s="6">
        <f>SUMIF('Raw Data'!$B$2:$B$1001,A290,'Raw Data'!$I$2:$I$1001)</f>
        <v>195</v>
      </c>
    </row>
    <row r="291" spans="1:2">
      <c r="A291" s="1">
        <f t="shared" si="6"/>
        <v>45209</v>
      </c>
      <c r="B291" s="6">
        <f>SUMIF('Raw Data'!$B$2:$B$1001,A291,'Raw Data'!$I$2:$I$1001)</f>
        <v>2120</v>
      </c>
    </row>
    <row r="292" spans="1:2">
      <c r="A292" s="1">
        <f t="shared" si="6"/>
        <v>45210</v>
      </c>
      <c r="B292" s="6">
        <f>SUMIF('Raw Data'!$B$2:$B$1001,A292,'Raw Data'!$I$2:$I$1001)</f>
        <v>2250</v>
      </c>
    </row>
    <row r="293" spans="1:2">
      <c r="A293" s="1">
        <f t="shared" si="6"/>
        <v>45211</v>
      </c>
      <c r="B293" s="6">
        <f>SUMIF('Raw Data'!$B$2:$B$1001,A293,'Raw Data'!$I$2:$I$1001)</f>
        <v>475</v>
      </c>
    </row>
    <row r="294" spans="1:2">
      <c r="A294" s="1">
        <f t="shared" si="6"/>
        <v>45212</v>
      </c>
      <c r="B294" s="6">
        <f>SUMIF('Raw Data'!$B$2:$B$1001,A294,'Raw Data'!$I$2:$I$1001)</f>
        <v>1175</v>
      </c>
    </row>
    <row r="295" spans="1:2">
      <c r="A295" s="1">
        <f t="shared" si="6"/>
        <v>45213</v>
      </c>
      <c r="B295" s="6">
        <f>SUMIF('Raw Data'!$B$2:$B$1001,A295,'Raw Data'!$I$2:$I$1001)</f>
        <v>110</v>
      </c>
    </row>
    <row r="296" spans="1:2">
      <c r="A296" s="1">
        <f t="shared" si="6"/>
        <v>45214</v>
      </c>
      <c r="B296" s="6">
        <f>SUMIF('Raw Data'!$B$2:$B$1001,A296,'Raw Data'!$I$2:$I$1001)</f>
        <v>1500</v>
      </c>
    </row>
    <row r="297" spans="1:2">
      <c r="A297" s="1">
        <f t="shared" si="6"/>
        <v>45215</v>
      </c>
      <c r="B297" s="6">
        <f>SUMIF('Raw Data'!$B$2:$B$1001,A297,'Raw Data'!$I$2:$I$1001)</f>
        <v>2860</v>
      </c>
    </row>
    <row r="298" spans="1:2">
      <c r="A298" s="1">
        <f t="shared" si="6"/>
        <v>45216</v>
      </c>
      <c r="B298" s="6">
        <f>SUMIF('Raw Data'!$B$2:$B$1001,A298,'Raw Data'!$I$2:$I$1001)</f>
        <v>175</v>
      </c>
    </row>
    <row r="299" spans="1:2">
      <c r="A299" s="1">
        <f t="shared" si="6"/>
        <v>45217</v>
      </c>
      <c r="B299" s="6">
        <f>SUMIF('Raw Data'!$B$2:$B$1001,A299,'Raw Data'!$I$2:$I$1001)</f>
        <v>2025</v>
      </c>
    </row>
    <row r="300" spans="1:2">
      <c r="A300" s="1">
        <f t="shared" si="6"/>
        <v>45218</v>
      </c>
      <c r="B300" s="6">
        <f>SUMIF('Raw Data'!$B$2:$B$1001,A300,'Raw Data'!$I$2:$I$1001)</f>
        <v>1860</v>
      </c>
    </row>
    <row r="301" spans="1:2">
      <c r="A301" s="1">
        <f t="shared" si="6"/>
        <v>45219</v>
      </c>
      <c r="B301" s="6">
        <f>SUMIF('Raw Data'!$B$2:$B$1001,A301,'Raw Data'!$I$2:$I$1001)</f>
        <v>50</v>
      </c>
    </row>
    <row r="302" spans="1:2">
      <c r="A302" s="1">
        <f t="shared" si="6"/>
        <v>45220</v>
      </c>
      <c r="B302" s="6">
        <f>SUMIF('Raw Data'!$B$2:$B$1001,A302,'Raw Data'!$I$2:$I$1001)</f>
        <v>50</v>
      </c>
    </row>
    <row r="303" spans="1:2">
      <c r="A303" s="1">
        <f t="shared" si="6"/>
        <v>45221</v>
      </c>
      <c r="B303" s="6">
        <f>SUMIF('Raw Data'!$B$2:$B$1001,A303,'Raw Data'!$I$2:$I$1001)</f>
        <v>1950</v>
      </c>
    </row>
    <row r="304" spans="1:2">
      <c r="A304" s="1">
        <f t="shared" si="6"/>
        <v>45222</v>
      </c>
      <c r="B304" s="6">
        <f>SUMIF('Raw Data'!$B$2:$B$1001,A304,'Raw Data'!$I$2:$I$1001)</f>
        <v>800</v>
      </c>
    </row>
    <row r="305" spans="1:2">
      <c r="A305" s="1">
        <f t="shared" si="6"/>
        <v>45223</v>
      </c>
      <c r="B305" s="6">
        <f>SUMIF('Raw Data'!$B$2:$B$1001,A305,'Raw Data'!$I$2:$I$1001)</f>
        <v>2200</v>
      </c>
    </row>
    <row r="306" spans="1:2">
      <c r="A306" s="1">
        <f t="shared" si="6"/>
        <v>45224</v>
      </c>
      <c r="B306" s="6">
        <f>SUMIF('Raw Data'!$B$2:$B$1001,A306,'Raw Data'!$I$2:$I$1001)</f>
        <v>3500</v>
      </c>
    </row>
    <row r="307" spans="1:2">
      <c r="A307" s="1">
        <f t="shared" si="6"/>
        <v>45225</v>
      </c>
      <c r="B307" s="6">
        <f>SUMIF('Raw Data'!$B$2:$B$1001,A307,'Raw Data'!$I$2:$I$1001)</f>
        <v>740</v>
      </c>
    </row>
    <row r="308" spans="1:2">
      <c r="A308" s="1">
        <f t="shared" si="6"/>
        <v>45226</v>
      </c>
      <c r="B308" s="6">
        <f>SUMIF('Raw Data'!$B$2:$B$1001,A308,'Raw Data'!$I$2:$I$1001)</f>
        <v>3650</v>
      </c>
    </row>
    <row r="309" spans="1:2">
      <c r="A309" s="1">
        <f t="shared" si="6"/>
        <v>45227</v>
      </c>
      <c r="B309" s="6">
        <f>SUMIF('Raw Data'!$B$2:$B$1001,A309,'Raw Data'!$I$2:$I$1001)</f>
        <v>0</v>
      </c>
    </row>
    <row r="310" spans="1:2">
      <c r="A310" s="1">
        <f t="shared" si="6"/>
        <v>45228</v>
      </c>
      <c r="B310" s="6">
        <f>SUMIF('Raw Data'!$B$2:$B$1001,A310,'Raw Data'!$I$2:$I$1001)</f>
        <v>1250</v>
      </c>
    </row>
    <row r="311" spans="1:2">
      <c r="A311" s="1">
        <f t="shared" si="6"/>
        <v>45229</v>
      </c>
      <c r="B311" s="6">
        <f>SUMIF('Raw Data'!$B$2:$B$1001,A311,'Raw Data'!$I$2:$I$1001)</f>
        <v>75</v>
      </c>
    </row>
    <row r="312" spans="1:2">
      <c r="A312" s="1">
        <f t="shared" si="6"/>
        <v>45230</v>
      </c>
      <c r="B312" s="6">
        <f>SUMIF('Raw Data'!$B$2:$B$1001,A312,'Raw Data'!$I$2:$I$1001)</f>
        <v>1790</v>
      </c>
    </row>
    <row r="313" spans="1:2">
      <c r="A313" s="1">
        <f t="shared" si="6"/>
        <v>45231</v>
      </c>
      <c r="B313" s="6">
        <f>SUMIF('Raw Data'!$B$2:$B$1001,A313,'Raw Data'!$I$2:$I$1001)</f>
        <v>1450</v>
      </c>
    </row>
    <row r="314" spans="1:2">
      <c r="A314" s="1">
        <f t="shared" si="6"/>
        <v>45232</v>
      </c>
      <c r="B314" s="6">
        <f>SUMIF('Raw Data'!$B$2:$B$1001,A314,'Raw Data'!$I$2:$I$1001)</f>
        <v>1915</v>
      </c>
    </row>
    <row r="315" spans="1:2">
      <c r="A315" s="1">
        <f t="shared" si="6"/>
        <v>45233</v>
      </c>
      <c r="B315" s="6">
        <f>SUMIF('Raw Data'!$B$2:$B$1001,A315,'Raw Data'!$I$2:$I$1001)</f>
        <v>1200</v>
      </c>
    </row>
    <row r="316" spans="1:2">
      <c r="A316" s="1">
        <f t="shared" si="6"/>
        <v>45234</v>
      </c>
      <c r="B316" s="6">
        <f>SUMIF('Raw Data'!$B$2:$B$1001,A316,'Raw Data'!$I$2:$I$1001)</f>
        <v>500</v>
      </c>
    </row>
    <row r="317" spans="1:2">
      <c r="A317" s="1">
        <f t="shared" si="6"/>
        <v>45235</v>
      </c>
      <c r="B317" s="6">
        <f>SUMIF('Raw Data'!$B$2:$B$1001,A317,'Raw Data'!$I$2:$I$1001)</f>
        <v>1800</v>
      </c>
    </row>
    <row r="318" spans="1:2">
      <c r="A318" s="1">
        <f t="shared" si="6"/>
        <v>45236</v>
      </c>
      <c r="B318" s="6">
        <f>SUMIF('Raw Data'!$B$2:$B$1001,A318,'Raw Data'!$I$2:$I$1001)</f>
        <v>2700</v>
      </c>
    </row>
    <row r="319" spans="1:2">
      <c r="A319" s="1">
        <f t="shared" si="6"/>
        <v>45237</v>
      </c>
      <c r="B319" s="6">
        <f>SUMIF('Raw Data'!$B$2:$B$1001,A319,'Raw Data'!$I$2:$I$1001)</f>
        <v>1560</v>
      </c>
    </row>
    <row r="320" spans="1:2">
      <c r="A320" s="1">
        <f t="shared" si="6"/>
        <v>45238</v>
      </c>
      <c r="B320" s="6">
        <f>SUMIF('Raw Data'!$B$2:$B$1001,A320,'Raw Data'!$I$2:$I$1001)</f>
        <v>210</v>
      </c>
    </row>
    <row r="321" spans="1:2">
      <c r="A321" s="1">
        <f t="shared" si="6"/>
        <v>45239</v>
      </c>
      <c r="B321" s="6">
        <f>SUMIF('Raw Data'!$B$2:$B$1001,A321,'Raw Data'!$I$2:$I$1001)</f>
        <v>3100</v>
      </c>
    </row>
    <row r="322" spans="1:2">
      <c r="A322" s="1">
        <f t="shared" si="6"/>
        <v>45240</v>
      </c>
      <c r="B322" s="6">
        <f>SUMIF('Raw Data'!$B$2:$B$1001,A322,'Raw Data'!$I$2:$I$1001)</f>
        <v>115</v>
      </c>
    </row>
    <row r="323" spans="1:2">
      <c r="A323" s="1">
        <f t="shared" si="6"/>
        <v>45241</v>
      </c>
      <c r="B323" s="6">
        <f>SUMIF('Raw Data'!$B$2:$B$1001,A323,'Raw Data'!$I$2:$I$1001)</f>
        <v>0</v>
      </c>
    </row>
    <row r="324" spans="1:2">
      <c r="A324" s="1">
        <f t="shared" si="6"/>
        <v>45242</v>
      </c>
      <c r="B324" s="6">
        <f>SUMIF('Raw Data'!$B$2:$B$1001,A324,'Raw Data'!$I$2:$I$1001)</f>
        <v>225</v>
      </c>
    </row>
    <row r="325" spans="1:2">
      <c r="A325" s="1">
        <f t="shared" si="6"/>
        <v>45243</v>
      </c>
      <c r="B325" s="6">
        <f>SUMIF('Raw Data'!$B$2:$B$1001,A325,'Raw Data'!$I$2:$I$1001)</f>
        <v>1225</v>
      </c>
    </row>
    <row r="326" spans="1:2">
      <c r="A326" s="1">
        <f t="shared" si="6"/>
        <v>45244</v>
      </c>
      <c r="B326" s="6">
        <f>SUMIF('Raw Data'!$B$2:$B$1001,A326,'Raw Data'!$I$2:$I$1001)</f>
        <v>1080</v>
      </c>
    </row>
    <row r="327" spans="1:2">
      <c r="A327" s="1">
        <f t="shared" si="6"/>
        <v>45245</v>
      </c>
      <c r="B327" s="6">
        <f>SUMIF('Raw Data'!$B$2:$B$1001,A327,'Raw Data'!$I$2:$I$1001)</f>
        <v>1630</v>
      </c>
    </row>
    <row r="328" spans="1:2">
      <c r="A328" s="1">
        <f t="shared" si="6"/>
        <v>45246</v>
      </c>
      <c r="B328" s="6">
        <f>SUMIF('Raw Data'!$B$2:$B$1001,A328,'Raw Data'!$I$2:$I$1001)</f>
        <v>1500</v>
      </c>
    </row>
    <row r="329" spans="1:2">
      <c r="A329" s="1">
        <f t="shared" si="6"/>
        <v>45247</v>
      </c>
      <c r="B329" s="6">
        <f>SUMIF('Raw Data'!$B$2:$B$1001,A329,'Raw Data'!$I$2:$I$1001)</f>
        <v>2610</v>
      </c>
    </row>
    <row r="330" spans="1:2">
      <c r="A330" s="1">
        <f t="shared" si="6"/>
        <v>45248</v>
      </c>
      <c r="B330" s="6">
        <f>SUMIF('Raw Data'!$B$2:$B$1001,A330,'Raw Data'!$I$2:$I$1001)</f>
        <v>1130</v>
      </c>
    </row>
    <row r="331" spans="1:2">
      <c r="A331" s="1">
        <f t="shared" ref="A331:A394" si="7">A330+1</f>
        <v>45249</v>
      </c>
      <c r="B331" s="6">
        <f>SUMIF('Raw Data'!$B$2:$B$1001,A331,'Raw Data'!$I$2:$I$1001)</f>
        <v>300</v>
      </c>
    </row>
    <row r="332" spans="1:2">
      <c r="A332" s="1">
        <f t="shared" si="7"/>
        <v>45250</v>
      </c>
      <c r="B332" s="6">
        <f>SUMIF('Raw Data'!$B$2:$B$1001,A332,'Raw Data'!$I$2:$I$1001)</f>
        <v>50</v>
      </c>
    </row>
    <row r="333" spans="1:2">
      <c r="A333" s="1">
        <f t="shared" si="7"/>
        <v>45251</v>
      </c>
      <c r="B333" s="6">
        <f>SUMIF('Raw Data'!$B$2:$B$1001,A333,'Raw Data'!$I$2:$I$1001)</f>
        <v>1060</v>
      </c>
    </row>
    <row r="334" spans="1:2">
      <c r="A334" s="1">
        <f t="shared" si="7"/>
        <v>45252</v>
      </c>
      <c r="B334" s="6">
        <f>SUMIF('Raw Data'!$B$2:$B$1001,A334,'Raw Data'!$I$2:$I$1001)</f>
        <v>2200</v>
      </c>
    </row>
    <row r="335" spans="1:2">
      <c r="A335" s="1">
        <f t="shared" si="7"/>
        <v>45253</v>
      </c>
      <c r="B335" s="6">
        <f>SUMIF('Raw Data'!$B$2:$B$1001,A335,'Raw Data'!$I$2:$I$1001)</f>
        <v>1590</v>
      </c>
    </row>
    <row r="336" spans="1:2">
      <c r="A336" s="1">
        <f t="shared" si="7"/>
        <v>45254</v>
      </c>
      <c r="B336" s="6">
        <f>SUMIF('Raw Data'!$B$2:$B$1001,A336,'Raw Data'!$I$2:$I$1001)</f>
        <v>1110</v>
      </c>
    </row>
    <row r="337" spans="1:2">
      <c r="A337" s="1">
        <f t="shared" si="7"/>
        <v>45255</v>
      </c>
      <c r="B337" s="6">
        <f>SUMIF('Raw Data'!$B$2:$B$1001,A337,'Raw Data'!$I$2:$I$1001)</f>
        <v>150</v>
      </c>
    </row>
    <row r="338" spans="1:2">
      <c r="A338" s="1">
        <f t="shared" si="7"/>
        <v>45256</v>
      </c>
      <c r="B338" s="6">
        <f>SUMIF('Raw Data'!$B$2:$B$1001,A338,'Raw Data'!$I$2:$I$1001)</f>
        <v>1600</v>
      </c>
    </row>
    <row r="339" spans="1:2">
      <c r="A339" s="1">
        <f t="shared" si="7"/>
        <v>45257</v>
      </c>
      <c r="B339" s="6">
        <f>SUMIF('Raw Data'!$B$2:$B$1001,A339,'Raw Data'!$I$2:$I$1001)</f>
        <v>235</v>
      </c>
    </row>
    <row r="340" spans="1:2">
      <c r="A340" s="1">
        <f t="shared" si="7"/>
        <v>45258</v>
      </c>
      <c r="B340" s="6">
        <f>SUMIF('Raw Data'!$B$2:$B$1001,A340,'Raw Data'!$I$2:$I$1001)</f>
        <v>390</v>
      </c>
    </row>
    <row r="341" spans="1:2">
      <c r="A341" s="1">
        <f t="shared" si="7"/>
        <v>45259</v>
      </c>
      <c r="B341" s="6">
        <f>SUMIF('Raw Data'!$B$2:$B$1001,A341,'Raw Data'!$I$2:$I$1001)</f>
        <v>1825</v>
      </c>
    </row>
    <row r="342" spans="1:2">
      <c r="A342" s="1">
        <f t="shared" si="7"/>
        <v>45260</v>
      </c>
      <c r="B342" s="6">
        <f>SUMIF('Raw Data'!$B$2:$B$1001,A342,'Raw Data'!$I$2:$I$1001)</f>
        <v>460</v>
      </c>
    </row>
    <row r="343" spans="1:2">
      <c r="A343" s="1">
        <f t="shared" si="7"/>
        <v>45261</v>
      </c>
      <c r="B343" s="6">
        <f>SUMIF('Raw Data'!$B$2:$B$1001,A343,'Raw Data'!$I$2:$I$1001)</f>
        <v>110</v>
      </c>
    </row>
    <row r="344" spans="1:2">
      <c r="A344" s="1">
        <f t="shared" si="7"/>
        <v>45262</v>
      </c>
      <c r="B344" s="6">
        <f>SUMIF('Raw Data'!$B$2:$B$1001,A344,'Raw Data'!$I$2:$I$1001)</f>
        <v>3030</v>
      </c>
    </row>
    <row r="345" spans="1:2">
      <c r="A345" s="1">
        <f t="shared" si="7"/>
        <v>45263</v>
      </c>
      <c r="B345" s="6">
        <f>SUMIF('Raw Data'!$B$2:$B$1001,A345,'Raw Data'!$I$2:$I$1001)</f>
        <v>600</v>
      </c>
    </row>
    <row r="346" spans="1:2">
      <c r="A346" s="1">
        <f t="shared" si="7"/>
        <v>45264</v>
      </c>
      <c r="B346" s="6">
        <f>SUMIF('Raw Data'!$B$2:$B$1001,A346,'Raw Data'!$I$2:$I$1001)</f>
        <v>1730</v>
      </c>
    </row>
    <row r="347" spans="1:2">
      <c r="A347" s="1">
        <f t="shared" si="7"/>
        <v>45265</v>
      </c>
      <c r="B347" s="6">
        <f>SUMIF('Raw Data'!$B$2:$B$1001,A347,'Raw Data'!$I$2:$I$1001)</f>
        <v>2475</v>
      </c>
    </row>
    <row r="348" spans="1:2">
      <c r="A348" s="1">
        <f t="shared" si="7"/>
        <v>45266</v>
      </c>
      <c r="B348" s="6">
        <f>SUMIF('Raw Data'!$B$2:$B$1001,A348,'Raw Data'!$I$2:$I$1001)</f>
        <v>2940</v>
      </c>
    </row>
    <row r="349" spans="1:2">
      <c r="A349" s="1">
        <f t="shared" si="7"/>
        <v>45267</v>
      </c>
      <c r="B349" s="6">
        <f>SUMIF('Raw Data'!$B$2:$B$1001,A349,'Raw Data'!$I$2:$I$1001)</f>
        <v>1400</v>
      </c>
    </row>
    <row r="350" spans="1:2">
      <c r="A350" s="1">
        <f t="shared" si="7"/>
        <v>45268</v>
      </c>
      <c r="B350" s="6">
        <f>SUMIF('Raw Data'!$B$2:$B$1001,A350,'Raw Data'!$I$2:$I$1001)</f>
        <v>2800</v>
      </c>
    </row>
    <row r="351" spans="1:2">
      <c r="A351" s="1">
        <f t="shared" si="7"/>
        <v>45269</v>
      </c>
      <c r="B351" s="6">
        <f>SUMIF('Raw Data'!$B$2:$B$1001,A351,'Raw Data'!$I$2:$I$1001)</f>
        <v>3925</v>
      </c>
    </row>
    <row r="352" spans="1:2">
      <c r="A352" s="1">
        <f t="shared" si="7"/>
        <v>45270</v>
      </c>
      <c r="B352" s="6">
        <f>SUMIF('Raw Data'!$B$2:$B$1001,A352,'Raw Data'!$I$2:$I$1001)</f>
        <v>1420</v>
      </c>
    </row>
    <row r="353" spans="1:2">
      <c r="A353" s="1">
        <f t="shared" si="7"/>
        <v>45271</v>
      </c>
      <c r="B353" s="6">
        <f>SUMIF('Raw Data'!$B$2:$B$1001,A353,'Raw Data'!$I$2:$I$1001)</f>
        <v>950</v>
      </c>
    </row>
    <row r="354" spans="1:2">
      <c r="A354" s="1">
        <f t="shared" si="7"/>
        <v>45272</v>
      </c>
      <c r="B354" s="6">
        <f>SUMIF('Raw Data'!$B$2:$B$1001,A354,'Raw Data'!$I$2:$I$1001)</f>
        <v>200</v>
      </c>
    </row>
    <row r="355" spans="1:2">
      <c r="A355" s="1">
        <f t="shared" si="7"/>
        <v>45273</v>
      </c>
      <c r="B355" s="6">
        <f>SUMIF('Raw Data'!$B$2:$B$1001,A355,'Raw Data'!$I$2:$I$1001)</f>
        <v>725</v>
      </c>
    </row>
    <row r="356" spans="1:2">
      <c r="A356" s="1">
        <f t="shared" si="7"/>
        <v>45274</v>
      </c>
      <c r="B356" s="6">
        <f>SUMIF('Raw Data'!$B$2:$B$1001,A356,'Raw Data'!$I$2:$I$1001)</f>
        <v>660</v>
      </c>
    </row>
    <row r="357" spans="1:2">
      <c r="A357" s="1">
        <f t="shared" si="7"/>
        <v>45275</v>
      </c>
      <c r="B357" s="6">
        <f>SUMIF('Raw Data'!$B$2:$B$1001,A357,'Raw Data'!$I$2:$I$1001)</f>
        <v>2050</v>
      </c>
    </row>
    <row r="358" spans="1:2">
      <c r="A358" s="1">
        <f t="shared" si="7"/>
        <v>45276</v>
      </c>
      <c r="B358" s="6">
        <f>SUMIF('Raw Data'!$B$2:$B$1001,A358,'Raw Data'!$I$2:$I$1001)</f>
        <v>1130</v>
      </c>
    </row>
    <row r="359" spans="1:2">
      <c r="A359" s="1">
        <f t="shared" si="7"/>
        <v>45277</v>
      </c>
      <c r="B359" s="6">
        <f>SUMIF('Raw Data'!$B$2:$B$1001,A359,'Raw Data'!$I$2:$I$1001)</f>
        <v>1500</v>
      </c>
    </row>
    <row r="360" spans="1:2">
      <c r="A360" s="1">
        <f t="shared" si="7"/>
        <v>45278</v>
      </c>
      <c r="B360" s="6">
        <f>SUMIF('Raw Data'!$B$2:$B$1001,A360,'Raw Data'!$I$2:$I$1001)</f>
        <v>2250</v>
      </c>
    </row>
    <row r="361" spans="1:2">
      <c r="A361" s="1">
        <f t="shared" si="7"/>
        <v>45279</v>
      </c>
      <c r="B361" s="6">
        <f>SUMIF('Raw Data'!$B$2:$B$1001,A361,'Raw Data'!$I$2:$I$1001)</f>
        <v>790</v>
      </c>
    </row>
    <row r="362" spans="1:2">
      <c r="A362" s="1">
        <f t="shared" si="7"/>
        <v>45280</v>
      </c>
      <c r="B362" s="6">
        <f>SUMIF('Raw Data'!$B$2:$B$1001,A362,'Raw Data'!$I$2:$I$1001)</f>
        <v>1350</v>
      </c>
    </row>
    <row r="363" spans="1:2">
      <c r="A363" s="1">
        <f t="shared" si="7"/>
        <v>45281</v>
      </c>
      <c r="B363" s="6">
        <f>SUMIF('Raw Data'!$B$2:$B$1001,A363,'Raw Data'!$I$2:$I$1001)</f>
        <v>300</v>
      </c>
    </row>
    <row r="364" spans="1:2">
      <c r="A364" s="1">
        <f t="shared" si="7"/>
        <v>45282</v>
      </c>
      <c r="B364" s="6">
        <f>SUMIF('Raw Data'!$B$2:$B$1001,A364,'Raw Data'!$I$2:$I$1001)</f>
        <v>1000</v>
      </c>
    </row>
    <row r="365" spans="1:2">
      <c r="A365" s="1">
        <f t="shared" si="7"/>
        <v>45283</v>
      </c>
      <c r="B365" s="6">
        <f>SUMIF('Raw Data'!$B$2:$B$1001,A365,'Raw Data'!$I$2:$I$1001)</f>
        <v>1850</v>
      </c>
    </row>
    <row r="366" spans="1:2">
      <c r="A366" s="1">
        <f t="shared" si="7"/>
        <v>45284</v>
      </c>
      <c r="B366" s="6">
        <f>SUMIF('Raw Data'!$B$2:$B$1001,A366,'Raw Data'!$I$2:$I$1001)</f>
        <v>200</v>
      </c>
    </row>
    <row r="367" spans="1:2">
      <c r="A367" s="1">
        <f t="shared" si="7"/>
        <v>45285</v>
      </c>
      <c r="B367" s="6">
        <f>SUMIF('Raw Data'!$B$2:$B$1001,A367,'Raw Data'!$I$2:$I$1001)</f>
        <v>1200</v>
      </c>
    </row>
    <row r="368" spans="1:2">
      <c r="A368" s="1">
        <f t="shared" si="7"/>
        <v>45286</v>
      </c>
      <c r="B368" s="6">
        <f>SUMIF('Raw Data'!$B$2:$B$1001,A368,'Raw Data'!$I$2:$I$1001)</f>
        <v>1880</v>
      </c>
    </row>
    <row r="369" spans="1:2">
      <c r="A369" s="1">
        <f t="shared" si="7"/>
        <v>45287</v>
      </c>
      <c r="B369" s="6">
        <f>SUMIF('Raw Data'!$B$2:$B$1001,A369,'Raw Data'!$I$2:$I$1001)</f>
        <v>700</v>
      </c>
    </row>
    <row r="370" spans="1:2">
      <c r="A370" s="1">
        <f t="shared" si="7"/>
        <v>45288</v>
      </c>
      <c r="B370" s="6">
        <f>SUMIF('Raw Data'!$B$2:$B$1001,A370,'Raw Data'!$I$2:$I$1001)</f>
        <v>2075</v>
      </c>
    </row>
    <row r="371" spans="1:2">
      <c r="A371" s="1">
        <f t="shared" si="7"/>
        <v>45289</v>
      </c>
      <c r="B371" s="6">
        <f>SUMIF('Raw Data'!$B$2:$B$1001,A371,'Raw Data'!$I$2:$I$1001)</f>
        <v>3400</v>
      </c>
    </row>
    <row r="372" spans="1:2">
      <c r="A372" s="1">
        <f t="shared" si="7"/>
        <v>45290</v>
      </c>
      <c r="B372" s="6">
        <f>SUMIF('Raw Data'!$B$2:$B$1001,A372,'Raw Data'!$I$2:$I$1001)</f>
        <v>0</v>
      </c>
    </row>
    <row r="373" spans="1:2">
      <c r="A373" s="1">
        <f t="shared" si="7"/>
        <v>45291</v>
      </c>
      <c r="B373" s="6">
        <f>SUMIF('Raw Data'!$B$2:$B$1001,A373,'Raw Data'!$I$2:$I$1001)</f>
        <v>50</v>
      </c>
    </row>
    <row r="374" spans="1:2">
      <c r="A374" s="1">
        <f t="shared" si="7"/>
        <v>45292</v>
      </c>
      <c r="B374" s="6">
        <f>SUMIF('Raw Data'!$B$2:$B$1001,A374,'Raw Data'!$I$2:$I$1001)</f>
        <v>1530</v>
      </c>
    </row>
    <row r="375" spans="1:2">
      <c r="A375" s="1"/>
    </row>
    <row r="376" spans="1:2">
      <c r="A376" s="1"/>
    </row>
    <row r="377" spans="1:2">
      <c r="A377" s="1"/>
    </row>
    <row r="378" spans="1:2">
      <c r="A378" s="1"/>
    </row>
    <row r="379" spans="1:2">
      <c r="A379" s="1"/>
    </row>
    <row r="380" spans="1:2">
      <c r="A380" s="1"/>
    </row>
    <row r="381" spans="1:2">
      <c r="A381" s="1"/>
    </row>
    <row r="382" spans="1:2">
      <c r="A382" s="1"/>
    </row>
    <row r="383" spans="1:2">
      <c r="A383" s="1"/>
    </row>
    <row r="384" spans="1:2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Kancharla</dc:creator>
  <cp:lastModifiedBy>Admin</cp:lastModifiedBy>
  <dcterms:created xsi:type="dcterms:W3CDTF">2026-09-24T09:31:01Z</dcterms:created>
  <dcterms:modified xsi:type="dcterms:W3CDTF">2026-09-24T09:31:01Z</dcterms:modified>
</cp:coreProperties>
</file>